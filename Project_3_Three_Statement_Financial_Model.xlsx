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b25b404db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9e1192e7e9c4bb7"/>
    <x:sheet xmlns:r="http://schemas.openxmlformats.org/officeDocument/2006/relationships" name="Assumptions" sheetId="2" r:id="R3f234b74f8d946c8"/>
    <x:sheet xmlns:r="http://schemas.openxmlformats.org/officeDocument/2006/relationships" name="Revenue Build" sheetId="3" r:id="R59ebfdd56ac241f1"/>
    <x:sheet xmlns:r="http://schemas.openxmlformats.org/officeDocument/2006/relationships" name="Operating Model" sheetId="4" r:id="Rdb9df836d889429b"/>
    <x:sheet xmlns:r="http://schemas.openxmlformats.org/officeDocument/2006/relationships" name="Working Capital" sheetId="5" r:id="R42f20e70e66f4ef8"/>
    <x:sheet xmlns:r="http://schemas.openxmlformats.org/officeDocument/2006/relationships" name="CapEx &amp; D&amp;A" sheetId="6" r:id="R692e01f00acc424f"/>
    <x:sheet xmlns:r="http://schemas.openxmlformats.org/officeDocument/2006/relationships" name="Debt Schedule" sheetId="7" r:id="Re68472e3459446c6"/>
    <x:sheet xmlns:r="http://schemas.openxmlformats.org/officeDocument/2006/relationships" name="Income Statement" sheetId="8" r:id="Rc0bc8fe090d7487d"/>
    <x:sheet xmlns:r="http://schemas.openxmlformats.org/officeDocument/2006/relationships" name="Balance Sheet" sheetId="9" r:id="R98889b661f304464"/>
    <x:sheet xmlns:r="http://schemas.openxmlformats.org/officeDocument/2006/relationships" name="Cash Flow" sheetId="10" r:id="R9e652009c2864e5c"/>
    <x:sheet xmlns:r="http://schemas.openxmlformats.org/officeDocument/2006/relationships" name="Ratios &amp; Checks" sheetId="11" r:id="R334c49d32005460d"/>
    <x:sheet xmlns:r="http://schemas.openxmlformats.org/officeDocument/2006/relationships" name="Dashboard" sheetId="12" r:id="R262a616374a546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0.0"/>
    <x:numFmt numFmtId="202" formatCode="#,##0;[Red](#,##0);-"/>
    <x:numFmt numFmtId="203" formatCode="0.0x;[Red](0.0x);-"/>
  </x:numFmts>
  <x:fonts count="15">
    <x:font>
      <x:sz val="11"/>
      <x:name val="Carlito"/>
    </x:font>
    <x:font>
      <x:b/>
      <x:sz val="22"/>
      <x:color rgb="FFFFFFFF"/>
      <x:name val="Carlito"/>
    </x:font>
    <x:font>
      <x:b/>
      <x:sz val="14"/>
      <x:color rgb="FF17365D"/>
      <x:name val="Carlito"/>
    </x:font>
    <x:font>
      <x:b/>
      <x:sz val="11"/>
      <x:color rgb="FF17365D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b/>
      <x:sz val="11"/>
      <x:color rgb="FF0000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6"/>
      <x:name val="Carlito"/>
    </x:font>
    <x:font>
      <x:sz val="11"/>
      <x:color rgb="FF000000"/>
      <x:name val="Carlito"/>
    </x:font>
    <x:font>
      <x:i/>
      <x:sz val="11"/>
      <x:color rgb="FF66666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7E6E6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right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0" xfId="0" applyNumberFormat="1" applyFont="1" applyFill="1" applyBorder="1"/>
    <x:xf numFmtId="0" fontId="7" fillId="5" borderId="0" xfId="0" applyNumberFormat="1" applyFont="1" applyFill="1" applyBorder="1"/>
    <x:xf numFmtId="0" fontId="9" fillId="0" borderId="1" xfId="0" applyNumberFormat="1" applyFont="1" applyFill="1" applyBorder="1"/>
    <x:xf numFmtId="0" fontId="7" fillId="5" borderId="1" xfId="0" applyNumberFormat="1" applyFont="1" applyFill="1" applyBorder="1"/>
    <x:xf numFmtId="200" fontId="9" fillId="0" borderId="0" xfId="0" applyNumberFormat="1" applyFont="1" applyFill="1" applyBorder="1"/>
    <x:xf numFmtId="200" fontId="9" fillId="0" borderId="1" xfId="0" applyNumberFormat="1" applyFont="1" applyFill="1" applyBorder="1"/>
    <x:xf numFmtId="201" fontId="9" fillId="0" borderId="0" xfId="0" applyNumberFormat="1" applyFont="1" applyFill="1" applyBorder="1"/>
    <x:xf numFmtId="201" fontId="9" fillId="0" borderId="1" xfId="0" applyNumberFormat="1" applyFont="1" applyFill="1" applyBorder="1"/>
    <x:xf numFmtId="202" fontId="9" fillId="0" borderId="0" xfId="0" applyNumberFormat="1" applyFont="1" applyFill="1" applyBorder="1"/>
    <x:xf numFmtId="202" fontId="9" fillId="0" borderId="1" xfId="0" applyNumberFormat="1" applyFont="1" applyFill="1" applyBorder="1"/>
    <x:xf numFmtId="200" fontId="9" fillId="6" borderId="0" xfId="0" applyNumberFormat="1" applyFont="1" applyFill="1" applyBorder="1"/>
    <x:xf numFmtId="0" fontId="9" fillId="6" borderId="0" xfId="0" applyNumberFormat="1" applyFont="1" applyFill="1" applyBorder="1"/>
    <x:xf numFmtId="0" fontId="7" fillId="6" borderId="0" xfId="0" applyNumberFormat="1" applyFont="1" applyFill="1" applyBorder="1"/>
    <x:xf numFmtId="201" fontId="9" fillId="6" borderId="0" xfId="0" applyNumberFormat="1" applyFont="1" applyFill="1" applyBorder="1"/>
    <x:xf numFmtId="202" fontId="9" fillId="6" borderId="0" xfId="0" applyNumberFormat="1" applyFont="1" applyFill="1" applyBorder="1"/>
    <x:xf numFmtId="200" fontId="9" fillId="6" borderId="1" xfId="0" applyNumberFormat="1" applyFont="1" applyFill="1" applyBorder="1"/>
    <x:xf numFmtId="0" fontId="9" fillId="6" borderId="1" xfId="0" applyNumberFormat="1" applyFont="1" applyFill="1" applyBorder="1"/>
    <x:xf numFmtId="0" fontId="7" fillId="6" borderId="1" xfId="0" applyNumberFormat="1" applyFont="1" applyFill="1" applyBorder="1"/>
    <x:xf numFmtId="201" fontId="9" fillId="6" borderId="1" xfId="0" applyNumberFormat="1" applyFont="1" applyFill="1" applyBorder="1"/>
    <x:xf numFmtId="202" fontId="9" fillId="6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10" fillId="0" borderId="0" xfId="0" applyNumberFormat="1" applyFont="1" applyFill="1" applyBorder="1"/>
    <x:xf numFmtId="200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10" fillId="0" borderId="1" xfId="0" applyNumberFormat="1" applyFont="1" applyFill="1" applyBorder="1"/>
    <x:xf numFmtId="200" fontId="10" fillId="0" borderId="1" xfId="0" applyNumberFormat="1" applyFont="1" applyFill="1" applyBorder="1"/>
    <x:xf numFmtId="201" fontId="10" fillId="0" borderId="1" xfId="0" applyNumberFormat="1" applyFont="1" applyFill="1" applyBorder="1"/>
    <x:xf numFmtId="202" fontId="8" fillId="5" borderId="0" xfId="0" applyNumberFormat="1" applyFont="1" applyFill="1" applyBorder="1"/>
    <x:xf numFmtId="202" fontId="8" fillId="5" borderId="1" xfId="0" applyNumberFormat="1" applyFont="1" applyFill="1" applyBorder="1"/>
    <x:xf numFmtId="202" fontId="11" fillId="5" borderId="0" xfId="0" applyNumberFormat="1" applyFont="1" applyFill="1" applyBorder="1"/>
    <x:xf numFmtId="202" fontId="11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10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5" borderId="0" xfId="0" applyNumberFormat="1" applyFont="1" applyFill="1" applyBorder="1"/>
    <x:xf numFmtId="203" fontId="10" fillId="0" borderId="1" xfId="0" applyNumberFormat="1" applyFont="1" applyFill="1" applyBorder="1"/>
    <x:xf numFmtId="0" fontId="10" fillId="0" borderId="1" xfId="0" applyNumberFormat="1" applyFont="1" applyFill="1" applyBorder="1"/>
    <x:xf numFmtId="0" fontId="11" fillId="5" borderId="1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12" fillId="7" borderId="0" xfId="0" applyNumberFormat="1" applyFont="1" applyFill="1" applyBorder="1"/>
    <x:xf numFmtId="0" fontId="12" fillId="7" borderId="1" xfId="0" applyNumberFormat="1" applyFont="1" applyFill="1" applyBorder="1"/>
    <x:xf numFmtId="202" fontId="12" fillId="7" borderId="0" xfId="0" applyNumberFormat="1" applyFont="1" applyFill="1" applyBorder="1"/>
    <x:xf numFmtId="202" fontId="12" fillId="7" borderId="1" xfId="0" applyNumberFormat="1" applyFont="1" applyFill="1" applyBorder="1"/>
    <x:xf numFmtId="0" fontId="0" fillId="0" borderId="0" xfId="0" applyNumberFormat="1" applyFont="1" applyFill="1" applyBorder="1"/>
    <x:xf numFmtId="0" fontId="5" fillId="0" borderId="0" xfId="0" applyNumberFormat="1" applyFont="1" applyFill="1" applyBorder="1"/>
    <x:xf numFmtId="202" fontId="11" fillId="0" borderId="0" xfId="0" applyNumberFormat="1" applyFont="1" applyFill="1" applyBorder="1"/>
    <x:xf numFmtId="0" fontId="5" fillId="0" borderId="1" xfId="0" applyNumberFormat="1" applyFont="1" applyFill="1" applyBorder="1"/>
    <x:xf numFmtId="202" fontId="11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13" fillId="0" borderId="0" xfId="0" applyNumberFormat="1" applyFont="1" applyFill="1" applyBorder="1"/>
    <x:xf numFmtId="202" fontId="13" fillId="0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775680faf4da6" /><Relationship Type="http://schemas.openxmlformats.org/officeDocument/2006/relationships/theme" Target="/xl/theme/theme1.xml" Id="R027dc991d2414fa1" /><Relationship Type="http://schemas.openxmlformats.org/officeDocument/2006/relationships/sharedStrings" Target="/xl/sharedStrings.xml" Id="Rc565d7d9ebf24e0b" /><Relationship Type="http://schemas.openxmlformats.org/officeDocument/2006/relationships/worksheet" Target="/xl/worksheets/sheet1.xml" Id="Re9e1192e7e9c4bb7" /><Relationship Type="http://schemas.openxmlformats.org/officeDocument/2006/relationships/worksheet" Target="/xl/worksheets/sheet2.xml" Id="R3f234b74f8d946c8" /><Relationship Type="http://schemas.openxmlformats.org/officeDocument/2006/relationships/worksheet" Target="/xl/worksheets/sheet3.xml" Id="R59ebfdd56ac241f1" /><Relationship Type="http://schemas.openxmlformats.org/officeDocument/2006/relationships/worksheet" Target="/xl/worksheets/sheet4.xml" Id="Rdb9df836d889429b" /><Relationship Type="http://schemas.openxmlformats.org/officeDocument/2006/relationships/worksheet" Target="/xl/worksheets/sheet5.xml" Id="R42f20e70e66f4ef8" /><Relationship Type="http://schemas.openxmlformats.org/officeDocument/2006/relationships/worksheet" Target="/xl/worksheets/sheet6.xml" Id="R692e01f00acc424f" /><Relationship Type="http://schemas.openxmlformats.org/officeDocument/2006/relationships/worksheet" Target="/xl/worksheets/sheet7.xml" Id="Re68472e3459446c6" /><Relationship Type="http://schemas.openxmlformats.org/officeDocument/2006/relationships/worksheet" Target="/xl/worksheets/sheet8.xml" Id="Rc0bc8fe090d7487d" /><Relationship Type="http://schemas.openxmlformats.org/officeDocument/2006/relationships/worksheet" Target="/xl/worksheets/sheet9.xml" Id="R98889b661f304464" /><Relationship Type="http://schemas.openxmlformats.org/officeDocument/2006/relationships/worksheet" Target="/xl/worksheets/sheet10.xml" Id="R9e652009c2864e5c" /><Relationship Type="http://schemas.openxmlformats.org/officeDocument/2006/relationships/worksheet" Target="/xl/worksheets/sheet11.xml" Id="R334c49d32005460d" /><Relationship Type="http://schemas.openxmlformats.org/officeDocument/2006/relationships/worksheet" Target="/xl/worksheets/sheet12.xml" Id="R262a616374a546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4182bc2fdd46d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Revenue, EBITDA &amp; Net Income Forecast</a:t>
            </a:r>
          </a:p>
        </c:rich>
      </c:tx>
    </c:title>
    <c:plotArea>
      <c:lineChart>
        <c:grouping val="standard"/>
        <c:ser>
          <c:idx val="0"/>
          <c:order val="0"/>
          <c:tx>
            <c:v>2026E</c:v>
          </c:tx>
          <c:marker>
            <c:symbol val="none"/>
          </c:marker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'Dashboard'!$B$10:$B$12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2027E</c:v>
          </c:tx>
          <c:marker>
            <c:symbol val="none"/>
          </c:marker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'Dashboard'!$C$10:$C$12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2028E</c:v>
          </c:tx>
          <c:marker>
            <c:symbol val="none"/>
          </c:marker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'Dashboard'!$D$10:$D$12</c:f>
              <c:numCache>
                <c:formatCode>#,##0;[Red](#,##0);-</c:formatCode>
                <c:ptCount val="0"/>
              </c:numCache>
            </c:numRef>
          </c:val>
        </c:ser>
        <c:ser>
          <c:idx val="3"/>
          <c:order val="3"/>
          <c:tx>
            <c:v>2029E</c:v>
          </c:tx>
          <c:marker>
            <c:symbol val="none"/>
          </c:marker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'Dashboard'!$E$10:$E$12</c:f>
              <c:numCache>
                <c:formatCode>#,##0;[Red](#,##0);-</c:formatCode>
                <c:ptCount val="0"/>
              </c:numCache>
            </c:numRef>
          </c:val>
        </c:ser>
        <c:ser>
          <c:idx val="4"/>
          <c:order val="4"/>
          <c:tx>
            <c:v>2030E</c:v>
          </c:tx>
          <c:marker>
            <c:symbol val="none"/>
          </c:marker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'Dashboard'!$F$10:$F$12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4182bc2fdd46d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de3b1f42409c4c30" /></Relationships>
</file>

<file path=xl/worksheets/sheet1.xml><?xml version="1.0" encoding="utf-8"?>
<x:worksheet xmlns:x="http://schemas.openxmlformats.org/spreadsheetml/2006/main"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3" ht="24" customHeight="1">
      <x:c r="B3" s="5" t="str">
        <x:v>THREE-STATEMENT FINANCIAL MODEL</x:v>
      </x:c>
      <x:c r="C3" s="5"/>
      <x:c r="D3" s="5"/>
      <x:c r="E3" s="5"/>
      <x:c r="F3" s="5"/>
      <x:c r="G3" s="5"/>
      <x:c r="H3" s="5"/>
    </x:row>
    <x:row r="4" ht="24" customHeight="1">
      <x:c r="B4" s="5"/>
      <x:c r="C4" s="5"/>
      <x:c r="D4" s="5"/>
      <x:c r="E4" s="5"/>
      <x:c r="F4" s="5"/>
      <x:c r="G4" s="5"/>
      <x:c r="H4" s="5"/>
    </x:row>
    <x:row r="5" ht="24" customHeight="1">
      <x:c r="B5" s="5"/>
      <x:c r="C5" s="5"/>
      <x:c r="D5" s="5"/>
      <x:c r="E5" s="5"/>
      <x:c r="F5" s="5"/>
      <x:c r="G5" s="5"/>
      <x:c r="H5" s="5"/>
    </x:row>
    <x:row r="6" ht="24" customHeight="1"/>
    <x:row r="7" ht="24" customHeight="1">
      <x:c r="B7" s="12" t="str">
        <x:v>Meridian Industrial Products Ltd. | Historical Actuals + 5-Year Forecast</x:v>
      </x:c>
      <x:c r="C7" s="12"/>
      <x:c r="D7" s="12"/>
      <x:c r="E7" s="12"/>
      <x:c r="F7" s="12"/>
      <x:c r="G7" s="12"/>
      <x:c r="H7" s="12"/>
    </x:row>
    <x:row r="8" ht="24" customHeight="1">
      <x:c r="B8" s="12"/>
      <x:c r="C8" s="12"/>
      <x:c r="D8" s="12"/>
      <x:c r="E8" s="12"/>
      <x:c r="F8" s="12"/>
      <x:c r="G8" s="12"/>
      <x:c r="H8" s="12"/>
    </x:row>
    <x:row r="9" ht="24" customHeight="1"/>
    <x:row r="10" ht="24" customHeight="1">
      <x:c r="B10" s="18" t="str">
        <x:v>Model purpose</x:v>
      </x:c>
      <x:c r="C10" s="16" t="str"/>
      <x:c r="D10" s="16" t="str"/>
      <x:c r="E10" s="16" t="str"/>
      <x:c r="F10" s="16" t="str"/>
      <x:c r="G10" s="16" t="str"/>
      <x:c r="H10" s="16" t="str"/>
    </x:row>
    <x:row r="11" ht="24" customHeight="1">
      <x:c r="B11" s="18" t="str">
        <x:v>Integrated three-statement financial model demonstrating driver-based forecasting, working capital, CapEx, depreciation, debt, cash flow, scenarios and financial analysis.</x:v>
      </x:c>
      <x:c r="C11" s="16" t="str"/>
      <x:c r="D11" s="16" t="str"/>
      <x:c r="E11" s="16" t="str"/>
      <x:c r="F11" s="16" t="str"/>
      <x:c r="G11" s="16" t="str"/>
      <x:c r="H11" s="16" t="str"/>
    </x:row>
    <x:row r="12" ht="24" customHeight="1">
      <x:c r="B12" s="18" t="str">
        <x:v>Portfolio disclosure</x:v>
      </x:c>
      <x:c r="C12" s="16" t="str"/>
      <x:c r="D12" s="16" t="str"/>
      <x:c r="E12" s="16" t="str"/>
      <x:c r="F12" s="16" t="str"/>
      <x:c r="G12" s="16" t="str"/>
      <x:c r="H12" s="16" t="str"/>
    </x:row>
    <x:row r="13" ht="24" customHeight="1">
      <x:c r="B13" s="18" t="str">
        <x:v>Fictional company and synthetic data. Built solely as a finance / FP&amp;A portfolio project.</x:v>
      </x:c>
      <x:c r="C13" s="16" t="str"/>
      <x:c r="D13" s="16" t="str"/>
      <x:c r="E13" s="16" t="str"/>
      <x:c r="F13" s="16" t="str"/>
      <x:c r="G13" s="16" t="str"/>
      <x:c r="H13" s="16" t="str"/>
    </x:row>
    <x:row r="14" ht="24" customHeight="1">
      <x:c r="B14" s="18" t="str">
        <x:v>Model units</x:v>
      </x:c>
      <x:c r="C14" s="16" t="str">
        <x:v>USD $000 unless otherwise stated</x:v>
      </x:c>
      <x:c r="D14" s="16" t="str"/>
      <x:c r="E14" s="16" t="str"/>
      <x:c r="F14" s="16" t="str"/>
      <x:c r="G14" s="16" t="str"/>
      <x:c r="H14" s="16" t="str"/>
    </x:row>
    <x:row r="15" ht="24" customHeight="1">
      <x:c r="B15" s="18" t="str">
        <x:v>Forecast horizon</x:v>
      </x:c>
      <x:c r="C15" s="16" t="str">
        <x:v>2026E–2030E</x:v>
      </x:c>
      <x:c r="D15" s="16" t="str"/>
      <x:c r="E15" s="16" t="str"/>
      <x:c r="F15" s="16" t="str"/>
      <x:c r="G15" s="16" t="str"/>
      <x:c r="H15" s="16" t="str"/>
    </x:row>
    <x:row r="17">
      <x:c r="B17" s="18" t="str">
        <x:v>Model flow</x:v>
      </x:c>
      <x:c r="C17" s="16" t="str"/>
      <x:c r="D17" s="16" t="str"/>
      <x:c r="E17" s="16" t="str"/>
      <x:c r="F17" s="16" t="str"/>
      <x:c r="G17" s="16" t="str"/>
      <x:c r="H17" s="16" t="str"/>
    </x:row>
    <x:row r="18">
      <x:c r="B18" s="18" t="str">
        <x:v>Assumptions → Revenue &amp; Operating Drivers → Working Capital / CapEx / Debt → Income Statement → Balance Sheet → Cash Flow</x:v>
      </x:c>
      <x:c r="C18" s="16" t="str"/>
      <x:c r="D18" s="16" t="str"/>
      <x:c r="E18" s="16" t="str"/>
      <x:c r="F18" s="16" t="str"/>
      <x:c r="G18" s="16" t="str"/>
      <x:c r="H18" s="16" t="str"/>
    </x:row>
    <x:row r="19">
      <x:c r="B19" s="18" t="str">
        <x:v>Key principle</x:v>
      </x:c>
      <x:c r="C19" s="16" t="str"/>
      <x:c r="D19" s="16" t="str"/>
      <x:c r="E19" s="16" t="str"/>
      <x:c r="F19" s="16" t="str"/>
      <x:c r="G19" s="16" t="str"/>
      <x:c r="H19" s="16" t="str"/>
    </x:row>
    <x:row r="20">
      <x:c r="B20" s="18" t="str">
        <x:v>Forecast assumptions flow automatically through all three financial statements, with balance and cash-flow checks.</x:v>
      </x:c>
      <x:c r="C20" s="16" t="str"/>
      <x:c r="D20" s="16" t="str"/>
      <x:c r="E20" s="16" t="str"/>
      <x:c r="F20" s="16" t="str"/>
      <x:c r="G20" s="16" t="str"/>
      <x:c r="H20" s="16" t="str"/>
    </x:row>
  </x:sheetData>
  <x:mergeCells>
    <x:mergeCell ref="B3:H5"/>
    <x:mergeCell ref="B7:H8"/>
    <x:mergeCell ref="B11:H11"/>
    <x:mergeCell ref="B13:H13"/>
    <x:mergeCell ref="B18:H18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ASSUMPTIONS &amp; SCENARIO CONTROL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t="str">
        <x:v>Scenario</x:v>
      </x:c>
      <x:c r="B2" s="33" t="str">
        <x:v>Base</x:v>
      </x:c>
      <x:c r="D2" s="104" t="str">
        <x:v>Scenario changes forecast revenue growth ±2% and gross margin ±1%.</x:v>
      </x:c>
      <x:c r="E2" s="104"/>
      <x:c r="F2" s="104"/>
      <x:c r="G2" s="104"/>
      <x:c r="H2" s="104"/>
      <x:c r="I2" s="104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Revenue &amp; Margin Assumptions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Revenue Growth</x:v>
      </x:c>
      <x:c r="B6"/>
      <x:c r="C6"/>
      <x:c r="D6"/>
      <x:c r="E6" s="50" t="n">
        <x:v>0.08</x:v>
      </x:c>
      <x:c r="F6" s="50" t="n">
        <x:v>0.075</x:v>
      </x:c>
      <x:c r="G6" s="50" t="n">
        <x:v>0.07</x:v>
      </x:c>
      <x:c r="H6" s="50" t="n">
        <x:v>0.065</x:v>
      </x:c>
      <x:c r="I6" s="50" t="n">
        <x:v>0.06</x:v>
      </x:c>
    </x:row>
    <x:row r="7">
      <x:c r="A7" t="str">
        <x:v>Gross Margin</x:v>
      </x:c>
      <x:c r="B7"/>
      <x:c r="C7"/>
      <x:c r="D7"/>
      <x:c r="E7" s="50" t="n">
        <x:v>0.405</x:v>
      </x:c>
      <x:c r="F7" s="50" t="n">
        <x:v>0.41</x:v>
      </x:c>
      <x:c r="G7" s="50" t="n">
        <x:v>0.415</x:v>
      </x:c>
      <x:c r="H7" s="50" t="n">
        <x:v>0.42</x:v>
      </x:c>
      <x:c r="I7" s="50" t="n">
        <x:v>0.425</x:v>
      </x:c>
    </x:row>
    <x:row r="8">
      <x:c r="A8" t="str">
        <x:v>Payroll % Revenue</x:v>
      </x:c>
      <x:c r="B8"/>
      <x:c r="C8"/>
      <x:c r="D8"/>
      <x:c r="E8" s="50" t="n">
        <x:v>0.12</x:v>
      </x:c>
      <x:c r="F8" s="50" t="n">
        <x:v>0.118</x:v>
      </x:c>
      <x:c r="G8" s="50" t="n">
        <x:v>0.116</x:v>
      </x:c>
      <x:c r="H8" s="50" t="n">
        <x:v>0.114</x:v>
      </x:c>
      <x:c r="I8" s="50" t="n">
        <x:v>0.112</x:v>
      </x:c>
    </x:row>
    <x:row r="9">
      <x:c r="A9" t="str">
        <x:v>Marketing % Revenue</x:v>
      </x:c>
      <x:c r="B9"/>
      <x:c r="C9"/>
      <x:c r="D9"/>
      <x:c r="E9" s="50" t="n">
        <x:v>0.035</x:v>
      </x:c>
      <x:c r="F9" s="50" t="n">
        <x:v>0.034</x:v>
      </x:c>
      <x:c r="G9" s="50" t="n">
        <x:v>0.033</x:v>
      </x:c>
      <x:c r="H9" s="50" t="n">
        <x:v>0.032</x:v>
      </x:c>
      <x:c r="I9" s="50" t="n">
        <x:v>0.031</x:v>
      </x:c>
    </x:row>
    <x:row r="10">
      <x:c r="A10" t="str">
        <x:v>Other Opex % Revenue</x:v>
      </x:c>
      <x:c r="B10"/>
      <x:c r="C10"/>
      <x:c r="D10"/>
      <x:c r="E10" s="50" t="n">
        <x:v>0.105</x:v>
      </x:c>
      <x:c r="F10" s="50" t="n">
        <x:v>0.103</x:v>
      </x:c>
      <x:c r="G10" s="50" t="n">
        <x:v>0.101</x:v>
      </x:c>
      <x:c r="H10" s="50" t="n">
        <x:v>0.099</x:v>
      </x:c>
      <x:c r="I10" s="50" t="n">
        <x:v>0.097</x:v>
      </x:c>
    </x:row>
    <x:row r="11">
      <x:c r="A11" t="str">
        <x:v>Tax Rate</x:v>
      </x:c>
      <x:c r="B11"/>
      <x:c r="C11"/>
      <x:c r="D11"/>
      <x:c r="E11" s="50" t="n">
        <x:v>0.25</x:v>
      </x:c>
      <x:c r="F11" s="50" t="n">
        <x:v>0.25</x:v>
      </x:c>
      <x:c r="G11" s="50" t="n">
        <x:v>0.25</x:v>
      </x:c>
      <x:c r="H11" s="50" t="n">
        <x:v>0.25</x:v>
      </x:c>
      <x:c r="I11" s="50" t="n">
        <x:v>0.25</x:v>
      </x:c>
    </x:row>
    <x:row r="12">
      <x:c r="E12" s="51"/>
      <x:c r="F12" s="51"/>
      <x:c r="G12" s="51"/>
      <x:c r="H12" s="51"/>
      <x:c r="I12" s="51"/>
    </x:row>
    <x:row r="13">
      <x:c r="A13" s="37" t="str">
        <x:v>Working Capital &amp; Investment Assumptions</x:v>
      </x:c>
      <x:c r="B13" s="37"/>
      <x:c r="C13" s="37"/>
      <x:c r="D13" s="37"/>
      <x:c r="E13" s="52"/>
      <x:c r="F13" s="52"/>
      <x:c r="G13" s="52"/>
      <x:c r="H13" s="52"/>
      <x:c r="I13" s="52"/>
    </x:row>
    <x:row r="14">
      <x:c r="A14" t="str">
        <x:v>DSO</x:v>
      </x:c>
      <x:c r="B14"/>
      <x:c r="C14"/>
      <x:c r="D14"/>
      <x:c r="E14" s="53" t="n">
        <x:v>42</x:v>
      </x:c>
      <x:c r="F14" s="53" t="n">
        <x:v>41</x:v>
      </x:c>
      <x:c r="G14" s="53" t="n">
        <x:v>40</x:v>
      </x:c>
      <x:c r="H14" s="53" t="n">
        <x:v>39</x:v>
      </x:c>
      <x:c r="I14" s="53" t="n">
        <x:v>38</x:v>
      </x:c>
    </x:row>
    <x:row r="15">
      <x:c r="A15" t="str">
        <x:v>Inventory Days</x:v>
      </x:c>
      <x:c r="B15"/>
      <x:c r="C15"/>
      <x:c r="D15"/>
      <x:c r="E15" s="53" t="n">
        <x:v>62</x:v>
      </x:c>
      <x:c r="F15" s="53" t="n">
        <x:v>60</x:v>
      </x:c>
      <x:c r="G15" s="53" t="n">
        <x:v>58</x:v>
      </x:c>
      <x:c r="H15" s="53" t="n">
        <x:v>56</x:v>
      </x:c>
      <x:c r="I15" s="53" t="n">
        <x:v>55</x:v>
      </x:c>
    </x:row>
    <x:row r="16">
      <x:c r="A16" t="str">
        <x:v>DPO</x:v>
      </x:c>
      <x:c r="B16"/>
      <x:c r="C16"/>
      <x:c r="D16"/>
      <x:c r="E16" s="53" t="n">
        <x:v>38</x:v>
      </x:c>
      <x:c r="F16" s="53" t="n">
        <x:v>39</x:v>
      </x:c>
      <x:c r="G16" s="53" t="n">
        <x:v>40</x:v>
      </x:c>
      <x:c r="H16" s="53" t="n">
        <x:v>41</x:v>
      </x:c>
      <x:c r="I16" s="53" t="n">
        <x:v>42</x:v>
      </x:c>
    </x:row>
    <x:row r="17">
      <x:c r="A17" t="str">
        <x:v>CapEx % Revenue</x:v>
      </x:c>
      <x:c r="B17"/>
      <x:c r="C17"/>
      <x:c r="D17"/>
      <x:c r="E17" s="50" t="n">
        <x:v>0.045</x:v>
      </x:c>
      <x:c r="F17" s="50" t="n">
        <x:v>0.044</x:v>
      </x:c>
      <x:c r="G17" s="50" t="n">
        <x:v>0.043</x:v>
      </x:c>
      <x:c r="H17" s="50" t="n">
        <x:v>0.042</x:v>
      </x:c>
      <x:c r="I17" s="50" t="n">
        <x:v>0.04</x:v>
      </x:c>
    </x:row>
    <x:row r="18">
      <x:c r="A18" t="str">
        <x:v>Useful Life (Years)</x:v>
      </x:c>
      <x:c r="B18"/>
      <x:c r="C18"/>
      <x:c r="D18"/>
      <x:c r="E18" s="53" t="n">
        <x:v>7</x:v>
      </x:c>
      <x:c r="F18" s="53" t="n">
        <x:v>7</x:v>
      </x:c>
      <x:c r="G18" s="53" t="n">
        <x:v>7</x:v>
      </x:c>
      <x:c r="H18" s="53" t="n">
        <x:v>7</x:v>
      </x:c>
      <x:c r="I18" s="53" t="n">
        <x:v>7</x:v>
      </x:c>
    </x:row>
    <x:row r="19">
      <x:c r="A19" t="str">
        <x:v>Minimum Cash</x:v>
      </x:c>
      <x:c r="B19"/>
      <x:c r="C19"/>
      <x:c r="D19"/>
      <x:c r="E19" s="54" t="n">
        <x:v>5000</x:v>
      </x:c>
      <x:c r="F19" s="54" t="n">
        <x:v>5000</x:v>
      </x:c>
      <x:c r="G19" s="54" t="n">
        <x:v>5000</x:v>
      </x:c>
      <x:c r="H19" s="54" t="n">
        <x:v>5000</x:v>
      </x:c>
      <x:c r="I19" s="54" t="n">
        <x:v>5000</x:v>
      </x:c>
    </x:row>
    <x:row r="20">
      <x:c r="E20" s="51"/>
      <x:c r="F20" s="51"/>
      <x:c r="G20" s="51"/>
      <x:c r="H20" s="51"/>
      <x:c r="I20" s="51"/>
    </x:row>
    <x:row r="21">
      <x:c r="A21" s="37" t="str">
        <x:v>Financing Assumptions</x:v>
      </x:c>
      <x:c r="B21" s="37"/>
      <x:c r="C21" s="37"/>
      <x:c r="D21" s="37"/>
      <x:c r="E21" s="52"/>
      <x:c r="F21" s="52"/>
      <x:c r="G21" s="52"/>
      <x:c r="H21" s="52"/>
      <x:c r="I21" s="52"/>
    </x:row>
    <x:row r="22">
      <x:c r="A22" t="str">
        <x:v>Interest Rate</x:v>
      </x:c>
      <x:c r="B22"/>
      <x:c r="C22"/>
      <x:c r="D22"/>
      <x:c r="E22" s="50" t="n">
        <x:v>0.065</x:v>
      </x:c>
      <x:c r="F22" s="50" t="n">
        <x:v>0.062</x:v>
      </x:c>
      <x:c r="G22" s="50" t="n">
        <x:v>0.06</x:v>
      </x:c>
      <x:c r="H22" s="50" t="n">
        <x:v>0.058</x:v>
      </x:c>
      <x:c r="I22" s="50" t="n">
        <x:v>0.055</x:v>
      </x:c>
    </x:row>
    <x:row r="23">
      <x:c r="A23" t="str">
        <x:v>Scheduled Debt Repayment</x:v>
      </x:c>
      <x:c r="B23"/>
      <x:c r="C23"/>
      <x:c r="D23"/>
      <x:c r="E23" s="54" t="n">
        <x:v>1500</x:v>
      </x:c>
      <x:c r="F23" s="54" t="n">
        <x:v>1500</x:v>
      </x:c>
      <x:c r="G23" s="54" t="n">
        <x:v>1500</x:v>
      </x:c>
      <x:c r="H23" s="54" t="n">
        <x:v>1500</x:v>
      </x:c>
      <x:c r="I23" s="54" t="n">
        <x:v>1500</x:v>
      </x:c>
    </x:row>
    <x:row r="24">
      <x:c r="A24" t="str">
        <x:v>Dividend Payout %</x:v>
      </x:c>
      <x:c r="B24"/>
      <x:c r="C24"/>
      <x:c r="D24"/>
      <x:c r="E24" s="50" t="n">
        <x:v>0.15</x:v>
      </x:c>
      <x:c r="F24" s="50" t="n">
        <x:v>0.15</x:v>
      </x:c>
      <x:c r="G24" s="50" t="n">
        <x:v>0.15</x:v>
      </x:c>
      <x:c r="H24" s="50" t="n">
        <x:v>0.15</x:v>
      </x:c>
      <x:c r="I24" s="50" t="n">
        <x:v>0.15</x:v>
      </x:c>
    </x:row>
  </x:sheetData>
  <x:mergeCells>
    <x:mergeCell ref="A1:I1"/>
    <x:mergeCell ref="A5:I5"/>
    <x:mergeCell ref="A13:I13"/>
    <x:mergeCell ref="A21:I21"/>
    <x:mergeCell ref="D2:I2"/>
  </x:mergeCells>
  <x:dataValidations count="1">
    <x:dataValidation type="list" sqref="B2">
      <x:formula1>"Base,Upside,Downside"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REVENUE BUILD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Revenue Drivers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Revenue ($000)</x:v>
      </x:c>
      <x:c r="B6" s="48" t="n">
        <x:v>62000</x:v>
      </x:c>
      <x:c r="C6" s="48" t="n">
        <x:v>68500</x:v>
      </x:c>
      <x:c r="D6" s="48" t="n">
        <x:v>75000</x:v>
      </x:c>
      <x:c r="E6" s="66" t="n">
        <x:f>D6*(1+Assumptions!E6+IF(Assumptions!$B$2="Upside",2%,IF(Assumptions!$B$2="Downside",-2%,0)))</x:f>
        <x:v>81000</x:v>
      </x:c>
      <x:c r="F6" s="66" t="n">
        <x:f>E6*(1+Assumptions!F6+IF(Assumptions!$B$2="Upside",2%,IF(Assumptions!$B$2="Downside",-2%,0)))</x:f>
        <x:v>87075</x:v>
      </x:c>
      <x:c r="G6" s="66" t="n">
        <x:f>F6*(1+Assumptions!G6+IF(Assumptions!$B$2="Upside",2%,IF(Assumptions!$B$2="Downside",-2%,0)))</x:f>
        <x:v>93170.25</x:v>
      </x:c>
      <x:c r="H6" s="66" t="n">
        <x:f>G6*(1+Assumptions!H6+IF(Assumptions!$B$2="Upside",2%,IF(Assumptions!$B$2="Downside",-2%,0)))</x:f>
        <x:v>99226.31624999999</x:v>
      </x:c>
      <x:c r="I6" s="66" t="n">
        <x:f>H6*(1+Assumptions!I6+IF(Assumptions!$B$2="Upside",2%,IF(Assumptions!$B$2="Downside",-2%,0)))</x:f>
        <x:v>105179.895225</x:v>
      </x:c>
    </x:row>
    <x:row r="7">
      <x:c r="A7" t="str">
        <x:v>YoY Growth</x:v>
      </x:c>
      <x:c r="B7" s="62"/>
      <x:c r="C7" s="62" t="n">
        <x:f>C6/B6-1</x:f>
        <x:v>0.10483870967741926</x:v>
      </x:c>
      <x:c r="D7" s="62" t="n">
        <x:f>D6/C6-1</x:f>
        <x:v>0.0948905109489051</x:v>
      </x:c>
      <x:c r="E7" s="67" t="n">
        <x:f>E6/D6-1</x:f>
        <x:v>0.08000000000000007</x:v>
      </x:c>
      <x:c r="F7" s="67" t="n">
        <x:f>F6/E6-1</x:f>
        <x:v>0.07499999999999996</x:v>
      </x:c>
      <x:c r="G7" s="67" t="n">
        <x:f>G6/F6-1</x:f>
        <x:v>0.07000000000000006</x:v>
      </x:c>
      <x:c r="H7" s="67" t="n">
        <x:f>H6/G6-1</x:f>
        <x:v>0.06499999999999995</x:v>
      </x:c>
      <x:c r="I7" s="67" t="n">
        <x:f>I6/H6-1</x:f>
        <x:v>0.06000000000000005</x:v>
      </x:c>
    </x:row>
    <x:row r="8">
      <x:c r="A8" t="str">
        <x:v>Units / Volume Index</x:v>
      </x:c>
      <x:c r="B8" s="46" t="n">
        <x:v>100</x:v>
      </x:c>
      <x:c r="C8" s="46" t="n">
        <x:v>106</x:v>
      </x:c>
      <x:c r="D8" s="46" t="n">
        <x:v>111</x:v>
      </x:c>
      <x:c r="E8" s="68" t="n">
        <x:f>D8*(1+Assumptions!E6*0.65)</x:f>
        <x:v>116.772</x:v>
      </x:c>
      <x:c r="F8" s="68" t="n">
        <x:f>E8*(1+Assumptions!F6*0.65)</x:f>
        <x:v>122.46463500000002</x:v>
      </x:c>
      <x:c r="G8" s="68" t="n">
        <x:f>F8*(1+Assumptions!G6*0.65)</x:f>
        <x:v>128.03677589250003</x:v>
      </x:c>
      <x:c r="H8" s="68" t="n">
        <x:f>G8*(1+Assumptions!H6*0.65)</x:f>
        <x:v>133.44632967395813</x:v>
      </x:c>
      <x:c r="I8" s="68" t="n">
        <x:f>H8*(1+Assumptions!I6*0.65)</x:f>
        <x:v>138.6507365312425</x:v>
      </x:c>
    </x:row>
    <x:row r="9">
      <x:c r="A9" t="str">
        <x:v>Price / Mix Index</x:v>
      </x:c>
      <x:c r="B9" s="46" t="n">
        <x:v>100</x:v>
      </x:c>
      <x:c r="C9" s="46" t="n">
        <x:v>104</x:v>
      </x:c>
      <x:c r="D9" s="46" t="n">
        <x:v>108</x:v>
      </x:c>
      <x:c r="E9" s="68" t="n">
        <x:f>E6/$D$6/(E8/$D$8)*$D$9</x:f>
        <x:v>110.87452471482891</x:v>
      </x:c>
      <x:c r="F9" s="68" t="n">
        <x:f>F6/$D$6/(F8/$D$8)*$D$9</x:f>
        <x:v>113.64969160280435</x:v>
      </x:c>
      <x:c r="G9" s="68" t="n">
        <x:f>G6/$D$6/(G8/$D$8)*$D$9</x:f>
        <x:v>116.31293162601686</x:v>
      </x:c>
      <x:c r="H9" s="68" t="n">
        <x:f>H6/$D$6/(H8/$D$8)*$D$9</x:f>
        <x:v>118.85178429523432</x:v>
      </x:c>
      <x:c r="I9" s="68" t="n">
        <x:f>I6/$D$6/(I8/$D$8)*$D$9</x:f>
        <x:v>121.25398590274146</x:v>
      </x:c>
    </x:row>
  </x:sheetData>
  <x:mergeCells>
    <x:mergeCell ref="A1:I1"/>
    <x:mergeCell ref="A5:I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OPERATING MODEL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Profitability Drivers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Revenue</x:v>
      </x:c>
      <x:c r="B6" s="60" t="n">
        <x:f>'Revenue Build'!B6</x:f>
        <x:v>62000</x:v>
      </x:c>
      <x:c r="C6" s="60" t="n">
        <x:f>'Revenue Build'!C6</x:f>
        <x:v>68500</x:v>
      </x:c>
      <x:c r="D6" s="60" t="n">
        <x:f>'Revenue Build'!D6</x:f>
        <x:v>75000</x:v>
      </x:c>
      <x:c r="E6" s="66" t="n">
        <x:f>'Revenue Build'!E6</x:f>
        <x:v>81000</x:v>
      </x:c>
      <x:c r="F6" s="66" t="n">
        <x:f>'Revenue Build'!F6</x:f>
        <x:v>87075</x:v>
      </x:c>
      <x:c r="G6" s="66" t="n">
        <x:f>'Revenue Build'!G6</x:f>
        <x:v>93170.25</x:v>
      </x:c>
      <x:c r="H6" s="66" t="n">
        <x:f>'Revenue Build'!H6</x:f>
        <x:v>99226.31624999999</x:v>
      </x:c>
      <x:c r="I6" s="66" t="n">
        <x:f>'Revenue Build'!I6</x:f>
        <x:v>105179.895225</x:v>
      </x:c>
    </x:row>
    <x:row r="7">
      <x:c r="A7" t="str">
        <x:v>COGS</x:v>
      </x:c>
      <x:c r="B7" s="48" t="n">
        <x:v>37500</x:v>
      </x:c>
      <x:c r="C7" s="48" t="n">
        <x:v>40800</x:v>
      </x:c>
      <x:c r="D7" s="48" t="n">
        <x:v>44400</x:v>
      </x:c>
      <x:c r="E7" s="66" t="n">
        <x:f>E6-E8</x:f>
        <x:v>48195</x:v>
      </x:c>
      <x:c r="F7" s="66" t="n">
        <x:f>F6-F8</x:f>
        <x:v>51374.25</x:v>
      </x:c>
      <x:c r="G7" s="66" t="n">
        <x:f>G6-G8</x:f>
        <x:v>54504.59625</x:v>
      </x:c>
      <x:c r="H7" s="66" t="n">
        <x:f>H6-H8</x:f>
        <x:v>57551.263425</x:v>
      </x:c>
      <x:c r="I7" s="66" t="n">
        <x:f>I6-I8</x:f>
        <x:v>60478.439754375</x:v>
      </x:c>
    </x:row>
    <x:row r="8">
      <x:c r="A8" s="94" t="str">
        <x:v>Gross Profit</x:v>
      </x:c>
      <x:c r="B8" s="60" t="n">
        <x:f>B6-B7</x:f>
        <x:v>24500</x:v>
      </x:c>
      <x:c r="C8" s="60" t="n">
        <x:f>C6-C7</x:f>
        <x:v>27700</x:v>
      </x:c>
      <x:c r="D8" s="60" t="n">
        <x:f>D6-D7</x:f>
        <x:v>30600</x:v>
      </x:c>
      <x:c r="E8" s="66" t="n">
        <x:f>E6*(Assumptions!E7+IF(Assumptions!$B$2="Upside",1%,IF(Assumptions!$B$2="Downside",-1%,0)))</x:f>
        <x:v>32805</x:v>
      </x:c>
      <x:c r="F8" s="66" t="n">
        <x:f>F6*(Assumptions!F7+IF(Assumptions!$B$2="Upside",1%,IF(Assumptions!$B$2="Downside",-1%,0)))</x:f>
        <x:v>35700.75</x:v>
      </x:c>
      <x:c r="G8" s="66" t="n">
        <x:f>G6*(Assumptions!G7+IF(Assumptions!$B$2="Upside",1%,IF(Assumptions!$B$2="Downside",-1%,0)))</x:f>
        <x:v>38665.65375</x:v>
      </x:c>
      <x:c r="H8" s="66" t="n">
        <x:f>H6*(Assumptions!H7+IF(Assumptions!$B$2="Upside",1%,IF(Assumptions!$B$2="Downside",-1%,0)))</x:f>
        <x:v>41675.05282499999</x:v>
      </x:c>
      <x:c r="I8" s="66" t="n">
        <x:f>I6*(Assumptions!I7+IF(Assumptions!$B$2="Upside",1%,IF(Assumptions!$B$2="Downside",-1%,0)))</x:f>
        <x:v>44701.455470625</x:v>
      </x:c>
    </x:row>
    <x:row r="9">
      <x:c r="A9" t="str">
        <x:v>Gross Margin</x:v>
      </x:c>
      <x:c r="B9" s="62" t="n">
        <x:f>B8/B6</x:f>
        <x:v>0.3951612903225806</x:v>
      </x:c>
      <x:c r="C9" s="62" t="n">
        <x:f>C8/C6</x:f>
        <x:v>0.4043795620437956</x:v>
      </x:c>
      <x:c r="D9" s="62" t="n">
        <x:f>D8/D6</x:f>
        <x:v>0.408</x:v>
      </x:c>
      <x:c r="E9" s="67" t="n">
        <x:f>E8/E6</x:f>
        <x:v>0.405</x:v>
      </x:c>
      <x:c r="F9" s="67" t="n">
        <x:f>F8/F6</x:f>
        <x:v>0.41</x:v>
      </x:c>
      <x:c r="G9" s="67" t="n">
        <x:f>G8/G6</x:f>
        <x:v>0.415</x:v>
      </x:c>
      <x:c r="H9" s="67" t="n">
        <x:f>H8/H6</x:f>
        <x:v>0.42</x:v>
      </x:c>
      <x:c r="I9" s="67" t="n">
        <x:f>I8/I6</x:f>
        <x:v>0.425</x:v>
      </x:c>
    </x:row>
    <x:row r="10">
      <x:c r="A10" t="str">
        <x:v>Payroll</x:v>
      </x:c>
      <x:c r="B10" s="48" t="n">
        <x:v>7200</x:v>
      </x:c>
      <x:c r="C10" s="48" t="n">
        <x:v>7900</x:v>
      </x:c>
      <x:c r="D10" s="48" t="n">
        <x:v>8600</x:v>
      </x:c>
      <x:c r="E10" s="66" t="n">
        <x:f>E6*Assumptions!E8</x:f>
        <x:v>9720</x:v>
      </x:c>
      <x:c r="F10" s="66" t="n">
        <x:f>F6*Assumptions!F8</x:f>
        <x:v>10274.85</x:v>
      </x:c>
      <x:c r="G10" s="66" t="n">
        <x:f>G6*Assumptions!G8</x:f>
        <x:v>10807.749</x:v>
      </x:c>
      <x:c r="H10" s="66" t="n">
        <x:f>H6*Assumptions!H8</x:f>
        <x:v>11311.800052499999</x:v>
      </x:c>
      <x:c r="I10" s="66" t="n">
        <x:f>I6*Assumptions!I8</x:f>
        <x:v>11780.1482652</x:v>
      </x:c>
    </x:row>
    <x:row r="11">
      <x:c r="A11" t="str">
        <x:v>Marketing</x:v>
      </x:c>
      <x:c r="B11" s="48" t="n">
        <x:v>2100</x:v>
      </x:c>
      <x:c r="C11" s="48" t="n">
        <x:v>2250</x:v>
      </x:c>
      <x:c r="D11" s="48" t="n">
        <x:v>2400</x:v>
      </x:c>
      <x:c r="E11" s="66" t="n">
        <x:f>E6*Assumptions!E9</x:f>
        <x:v>2835.0000000000005</x:v>
      </x:c>
      <x:c r="F11" s="66" t="n">
        <x:f>F6*Assumptions!F9</x:f>
        <x:v>2960.55</x:v>
      </x:c>
      <x:c r="G11" s="66" t="n">
        <x:f>G6*Assumptions!G9</x:f>
        <x:v>3074.61825</x:v>
      </x:c>
      <x:c r="H11" s="66" t="n">
        <x:f>H6*Assumptions!H9</x:f>
        <x:v>3175.24212</x:v>
      </x:c>
      <x:c r="I11" s="66" t="n">
        <x:f>I6*Assumptions!I9</x:f>
        <x:v>3260.576751975</x:v>
      </x:c>
    </x:row>
    <x:row r="12">
      <x:c r="A12" t="str">
        <x:v>Other Operating Expenses</x:v>
      </x:c>
      <x:c r="B12" s="48" t="n">
        <x:v>6500</x:v>
      </x:c>
      <x:c r="C12" s="48" t="n">
        <x:v>7000</x:v>
      </x:c>
      <x:c r="D12" s="48" t="n">
        <x:v>7500</x:v>
      </x:c>
      <x:c r="E12" s="66" t="n">
        <x:f>E6*Assumptions!E10</x:f>
        <x:v>8505</x:v>
      </x:c>
      <x:c r="F12" s="66" t="n">
        <x:f>F6*Assumptions!F10</x:f>
        <x:v>8968.725</x:v>
      </x:c>
      <x:c r="G12" s="66" t="n">
        <x:f>G6*Assumptions!G10</x:f>
        <x:v>9410.19525</x:v>
      </x:c>
      <x:c r="H12" s="66" t="n">
        <x:f>H6*Assumptions!H10</x:f>
        <x:v>9823.40530875</x:v>
      </x:c>
      <x:c r="I12" s="66" t="n">
        <x:f>I6*Assumptions!I10</x:f>
        <x:v>10202.449836825</x:v>
      </x:c>
    </x:row>
    <x:row r="13">
      <x:c r="A13" s="94" t="str">
        <x:v>Total Opex</x:v>
      </x:c>
      <x:c r="B13" s="60" t="n">
        <x:f>SUM(B10:B12)</x:f>
        <x:v>15800</x:v>
      </x:c>
      <x:c r="C13" s="60" t="n">
        <x:f>SUM(C10:C12)</x:f>
        <x:v>17150</x:v>
      </x:c>
      <x:c r="D13" s="60" t="n">
        <x:f>SUM(D10:D12)</x:f>
        <x:v>18500</x:v>
      </x:c>
      <x:c r="E13" s="66" t="n">
        <x:f>SUM(E10:E12)</x:f>
        <x:v>21060</x:v>
      </x:c>
      <x:c r="F13" s="66" t="n">
        <x:f>SUM(F10:F12)</x:f>
        <x:v>22204.125</x:v>
      </x:c>
      <x:c r="G13" s="66" t="n">
        <x:f>SUM(G10:G12)</x:f>
        <x:v>23292.5625</x:v>
      </x:c>
      <x:c r="H13" s="66" t="n">
        <x:f>SUM(H10:H12)</x:f>
        <x:v>24310.447481249998</x:v>
      </x:c>
      <x:c r="I13" s="66" t="n">
        <x:f>SUM(I10:I12)</x:f>
        <x:v>25243.174854</x:v>
      </x:c>
    </x:row>
    <x:row r="14">
      <x:c r="A14" s="94" t="str">
        <x:v>EBITDA</x:v>
      </x:c>
      <x:c r="B14" s="60" t="n">
        <x:f>B8-B13</x:f>
        <x:v>8700</x:v>
      </x:c>
      <x:c r="C14" s="60" t="n">
        <x:f>C8-C13</x:f>
        <x:v>10550</x:v>
      </x:c>
      <x:c r="D14" s="60" t="n">
        <x:f>D8-D13</x:f>
        <x:v>12100</x:v>
      </x:c>
      <x:c r="E14" s="66" t="n">
        <x:f>E8-E13</x:f>
        <x:v>11745</x:v>
      </x:c>
      <x:c r="F14" s="66" t="n">
        <x:f>F8-F13</x:f>
        <x:v>13496.625</x:v>
      </x:c>
      <x:c r="G14" s="66" t="n">
        <x:f>G8-G13</x:f>
        <x:v>15373.091249999998</x:v>
      </x:c>
      <x:c r="H14" s="66" t="n">
        <x:f>H8-H13</x:f>
        <x:v>17364.605343749994</x:v>
      </x:c>
      <x:c r="I14" s="66" t="n">
        <x:f>I8-I13</x:f>
        <x:v>19458.280616624997</x:v>
      </x:c>
    </x:row>
    <x:row r="15">
      <x:c r="A15" t="str">
        <x:v>EBITDA Margin</x:v>
      </x:c>
      <x:c r="B15" s="62" t="n">
        <x:f>B14/B6</x:f>
        <x:v>0.1403225806451613</x:v>
      </x:c>
      <x:c r="C15" s="62" t="n">
        <x:f>C14/C6</x:f>
        <x:v>0.15401459854014599</x:v>
      </x:c>
      <x:c r="D15" s="62" t="n">
        <x:f>D14/D6</x:f>
        <x:v>0.16133333333333333</x:v>
      </x:c>
      <x:c r="E15" s="67" t="n">
        <x:f>E14/E6</x:f>
        <x:v>0.145</x:v>
      </x:c>
      <x:c r="F15" s="67" t="n">
        <x:f>F14/F6</x:f>
        <x:v>0.155</x:v>
      </x:c>
      <x:c r="G15" s="67" t="n">
        <x:f>G14/G6</x:f>
        <x:v>0.16499999999999998</x:v>
      </x:c>
      <x:c r="H15" s="67" t="n">
        <x:f>H14/H6</x:f>
        <x:v>0.17499999999999996</x:v>
      </x:c>
      <x:c r="I15" s="67" t="n">
        <x:f>I14/I6</x:f>
        <x:v>0.18499999999999997</x:v>
      </x:c>
    </x:row>
  </x:sheetData>
  <x:mergeCells>
    <x:mergeCell ref="A1:I1"/>
    <x:mergeCell ref="A5:I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WORKING CAPITAL SCHEDULE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Operating Working Capital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Revenue</x:v>
      </x:c>
      <x:c r="B6" s="60" t="n">
        <x:f>'Operating Model'!B6</x:f>
        <x:v>62000</x:v>
      </x:c>
      <x:c r="C6" s="60" t="n">
        <x:f>'Operating Model'!C6</x:f>
        <x:v>68500</x:v>
      </x:c>
      <x:c r="D6" s="60" t="n">
        <x:f>'Operating Model'!D6</x:f>
        <x:v>75000</x:v>
      </x:c>
      <x:c r="E6" s="66" t="n">
        <x:f>'Operating Model'!E6</x:f>
        <x:v>81000</x:v>
      </x:c>
      <x:c r="F6" s="66" t="n">
        <x:f>'Operating Model'!F6</x:f>
        <x:v>87075</x:v>
      </x:c>
      <x:c r="G6" s="66" t="n">
        <x:f>'Operating Model'!G6</x:f>
        <x:v>93170.25</x:v>
      </x:c>
      <x:c r="H6" s="66" t="n">
        <x:f>'Operating Model'!H6</x:f>
        <x:v>99226.31624999999</x:v>
      </x:c>
      <x:c r="I6" s="66" t="n">
        <x:f>'Operating Model'!I6</x:f>
        <x:v>105179.895225</x:v>
      </x:c>
    </x:row>
    <x:row r="7">
      <x:c r="A7" t="str">
        <x:v>COGS</x:v>
      </x:c>
      <x:c r="B7" s="60" t="n">
        <x:f>'Operating Model'!B7</x:f>
        <x:v>37500</x:v>
      </x:c>
      <x:c r="C7" s="60" t="n">
        <x:f>'Operating Model'!C7</x:f>
        <x:v>40800</x:v>
      </x:c>
      <x:c r="D7" s="60" t="n">
        <x:f>'Operating Model'!D7</x:f>
        <x:v>44400</x:v>
      </x:c>
      <x:c r="E7" s="66" t="n">
        <x:f>'Operating Model'!E7</x:f>
        <x:v>48195</x:v>
      </x:c>
      <x:c r="F7" s="66" t="n">
        <x:f>'Operating Model'!F7</x:f>
        <x:v>51374.25</x:v>
      </x:c>
      <x:c r="G7" s="66" t="n">
        <x:f>'Operating Model'!G7</x:f>
        <x:v>54504.59625</x:v>
      </x:c>
      <x:c r="H7" s="66" t="n">
        <x:f>'Operating Model'!H7</x:f>
        <x:v>57551.263425</x:v>
      </x:c>
      <x:c r="I7" s="66" t="n">
        <x:f>'Operating Model'!I7</x:f>
        <x:v>60478.439754375</x:v>
      </x:c>
    </x:row>
    <x:row r="8">
      <x:c r="A8" t="str">
        <x:v>Accounts Receivable</x:v>
      </x:c>
      <x:c r="B8" s="48" t="n">
        <x:v>7200</x:v>
      </x:c>
      <x:c r="C8" s="48" t="n">
        <x:v>8100</x:v>
      </x:c>
      <x:c r="D8" s="48" t="n">
        <x:v>9000</x:v>
      </x:c>
      <x:c r="E8" s="66" t="n">
        <x:f>E6/365*E9</x:f>
        <x:v>9320.547945205479</x:v>
      </x:c>
      <x:c r="F8" s="66" t="n">
        <x:f>F6/365*F9</x:f>
        <x:v>9781.027397260274</x:v>
      </x:c>
      <x:c r="G8" s="66" t="n">
        <x:f>G6/365*G9</x:f>
        <x:v>10210.438356164384</x:v>
      </x:c>
      <x:c r="H8" s="66" t="n">
        <x:f>H6/365*H9</x:f>
        <x:v>10602.26392808219</x:v>
      </x:c>
      <x:c r="I8" s="66" t="n">
        <x:f>I6/365*I9</x:f>
        <x:v>10950.235667260275</x:v>
      </x:c>
    </x:row>
    <x:row r="9">
      <x:c r="A9" t="str">
        <x:v>DSO</x:v>
      </x:c>
      <x:c r="B9" s="64" t="n">
        <x:f>B8/B6*365</x:f>
        <x:v>42.38709677419355</x:v>
      </x:c>
      <x:c r="C9" s="64" t="n">
        <x:f>C8/C6*365</x:f>
        <x:v>43.160583941605836</x:v>
      </x:c>
      <x:c r="D9" s="64" t="n">
        <x:f>D8/D6*365</x:f>
        <x:v>43.8</x:v>
      </x:c>
      <x:c r="E9" s="68" t="n">
        <x:f>Assumptions!E14</x:f>
        <x:v>42</x:v>
      </x:c>
      <x:c r="F9" s="68" t="n">
        <x:f>Assumptions!F14</x:f>
        <x:v>41</x:v>
      </x:c>
      <x:c r="G9" s="68" t="n">
        <x:f>Assumptions!G14</x:f>
        <x:v>40</x:v>
      </x:c>
      <x:c r="H9" s="68" t="n">
        <x:f>Assumptions!H14</x:f>
        <x:v>39</x:v>
      </x:c>
      <x:c r="I9" s="68" t="n">
        <x:f>Assumptions!I14</x:f>
        <x:v>38</x:v>
      </x:c>
    </x:row>
    <x:row r="10">
      <x:c r="A10" t="str">
        <x:v>Inventory</x:v>
      </x:c>
      <x:c r="B10" s="48" t="n">
        <x:v>6500</x:v>
      </x:c>
      <x:c r="C10" s="48" t="n">
        <x:v>7100</x:v>
      </x:c>
      <x:c r="D10" s="48" t="n">
        <x:v>7600</x:v>
      </x:c>
      <x:c r="E10" s="66" t="n">
        <x:f>E7/365*E11</x:f>
        <x:v>8186.54794520548</x:v>
      </x:c>
      <x:c r="F10" s="66" t="n">
        <x:f>F7/365*F11</x:f>
        <x:v>8445.082191780823</x:v>
      </x:c>
      <x:c r="G10" s="66" t="n">
        <x:f>G7/365*G11</x:f>
        <x:v>8661.004335616439</x:v>
      </x:c>
      <x:c r="H10" s="66" t="n">
        <x:f>H7/365*H11</x:f>
        <x:v>8829.782881643834</x:v>
      </x:c>
      <x:c r="I10" s="66" t="n">
        <x:f>I7/365*I11</x:f>
        <x:v>9113.18955202911</x:v>
      </x:c>
    </x:row>
    <x:row r="11">
      <x:c r="A11" t="str">
        <x:v>Inventory Days</x:v>
      </x:c>
      <x:c r="B11" s="64" t="n">
        <x:f>B10/B7*365</x:f>
        <x:v>63.266666666666666</x:v>
      </x:c>
      <x:c r="C11" s="64" t="n">
        <x:f>C10/C7*365</x:f>
        <x:v>63.5171568627451</x:v>
      </x:c>
      <x:c r="D11" s="64" t="n">
        <x:f>D10/D7*365</x:f>
        <x:v>62.47747747747748</x:v>
      </x:c>
      <x:c r="E11" s="68" t="n">
        <x:f>Assumptions!E15</x:f>
        <x:v>62</x:v>
      </x:c>
      <x:c r="F11" s="68" t="n">
        <x:f>Assumptions!F15</x:f>
        <x:v>60</x:v>
      </x:c>
      <x:c r="G11" s="68" t="n">
        <x:f>Assumptions!G15</x:f>
        <x:v>58</x:v>
      </x:c>
      <x:c r="H11" s="68" t="n">
        <x:f>Assumptions!H15</x:f>
        <x:v>56</x:v>
      </x:c>
      <x:c r="I11" s="68" t="n">
        <x:f>Assumptions!I15</x:f>
        <x:v>55</x:v>
      </x:c>
    </x:row>
    <x:row r="12">
      <x:c r="A12" t="str">
        <x:v>Accounts Payable</x:v>
      </x:c>
      <x:c r="B12" s="48" t="n">
        <x:v>4100</x:v>
      </x:c>
      <x:c r="C12" s="48" t="n">
        <x:v>4550</x:v>
      </x:c>
      <x:c r="D12" s="48" t="n">
        <x:v>5000</x:v>
      </x:c>
      <x:c r="E12" s="66" t="n">
        <x:f>E7/365*E13</x:f>
        <x:v>5017.561643835616</x:v>
      </x:c>
      <x:c r="F12" s="66" t="n">
        <x:f>F7/365*F13</x:f>
        <x:v>5489.303424657534</x:v>
      </x:c>
      <x:c r="G12" s="66" t="n">
        <x:f>G7/365*G13</x:f>
        <x:v>5973.106438356164</x:v>
      </x:c>
      <x:c r="H12" s="66" t="n">
        <x:f>H7/365*H13</x:f>
        <x:v>6464.662466917807</x:v>
      </x:c>
      <x:c r="I12" s="66" t="n">
        <x:f>I7/365*I13</x:f>
        <x:v>6959.162930640411</x:v>
      </x:c>
    </x:row>
    <x:row r="13">
      <x:c r="A13" t="str">
        <x:v>DPO</x:v>
      </x:c>
      <x:c r="B13" s="64" t="n">
        <x:f>B12/B7*365</x:f>
        <x:v>39.906666666666666</x:v>
      </x:c>
      <x:c r="C13" s="64" t="n">
        <x:f>C12/C7*365</x:f>
        <x:v>40.704656862745104</x:v>
      </x:c>
      <x:c r="D13" s="64" t="n">
        <x:f>D12/D7*365</x:f>
        <x:v>41.1036036036036</x:v>
      </x:c>
      <x:c r="E13" s="68" t="n">
        <x:f>Assumptions!E16</x:f>
        <x:v>38</x:v>
      </x:c>
      <x:c r="F13" s="68" t="n">
        <x:f>Assumptions!F16</x:f>
        <x:v>39</x:v>
      </x:c>
      <x:c r="G13" s="68" t="n">
        <x:f>Assumptions!G16</x:f>
        <x:v>40</x:v>
      </x:c>
      <x:c r="H13" s="68" t="n">
        <x:f>Assumptions!H16</x:f>
        <x:v>41</x:v>
      </x:c>
      <x:c r="I13" s="68" t="n">
        <x:f>Assumptions!I16</x:f>
        <x:v>42</x:v>
      </x:c>
    </x:row>
    <x:row r="14">
      <x:c r="A14" t="str">
        <x:v>Net Working Capital</x:v>
      </x:c>
      <x:c r="B14" s="60" t="n">
        <x:f>B8+B10-B12</x:f>
        <x:v>9600</x:v>
      </x:c>
      <x:c r="C14" s="60" t="n">
        <x:f>C8+C10-C12</x:f>
        <x:v>10650</x:v>
      </x:c>
      <x:c r="D14" s="60" t="n">
        <x:f>D8+D10-D12</x:f>
        <x:v>11600</x:v>
      </x:c>
      <x:c r="E14" s="66" t="n">
        <x:f>E8+E10-E12</x:f>
        <x:v>12489.534246575342</x:v>
      </x:c>
      <x:c r="F14" s="66" t="n">
        <x:f>F8+F10-F12</x:f>
        <x:v>12736.80616438356</x:v>
      </x:c>
      <x:c r="G14" s="66" t="n">
        <x:f>G8+G10-G12</x:f>
        <x:v>12898.336253424659</x:v>
      </x:c>
      <x:c r="H14" s="66" t="n">
        <x:f>H8+H10-H12</x:f>
        <x:v>12967.384342808216</x:v>
      </x:c>
      <x:c r="I14" s="66" t="n">
        <x:f>I8+I10-I12</x:f>
        <x:v>13104.262288648973</x:v>
      </x:c>
    </x:row>
    <x:row r="15">
      <x:c r="A15" t="str">
        <x:v>Change in NWC</x:v>
      </x:c>
      <x:c r="B15" s="60" t="n">
        <x:v>0</x:v>
      </x:c>
      <x:c r="C15" s="60" t="n">
        <x:f>C14-B14</x:f>
        <x:v>1050</x:v>
      </x:c>
      <x:c r="D15" s="60" t="n">
        <x:f>D14-C14</x:f>
        <x:v>950</x:v>
      </x:c>
      <x:c r="E15" s="66" t="n">
        <x:f>E14-D14</x:f>
        <x:v>889.534246575342</x:v>
      </x:c>
      <x:c r="F15" s="66" t="n">
        <x:f>F14-E14</x:f>
        <x:v>247.27191780821886</x:v>
      </x:c>
      <x:c r="G15" s="66" t="n">
        <x:f>G14-F14</x:f>
        <x:v>161.5300890410981</x:v>
      </x:c>
      <x:c r="H15" s="66" t="n">
        <x:f>H14-G14</x:f>
        <x:v>69.04808938355745</x:v>
      </x:c>
      <x:c r="I15" s="66" t="n">
        <x:f>I14-H14</x:f>
        <x:v>136.8779458407571</x:v>
      </x:c>
    </x:row>
  </x:sheetData>
  <x:mergeCells>
    <x:mergeCell ref="A1:I1"/>
    <x:mergeCell ref="A5:I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CAPEX &amp; DEPRECIATION SCHEDULE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PP&amp;E Roll-Forward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Beginning Net PP&amp;E</x:v>
      </x:c>
      <x:c r="B6" s="60" t="n">
        <x:f>B9-B7+B8</x:f>
        <x:v>10700</x:v>
      </x:c>
      <x:c r="C6" s="60" t="n">
        <x:f>B9</x:f>
        <x:v>12000</x:v>
      </x:c>
      <x:c r="D6" s="60" t="n">
        <x:f>C9</x:f>
        <x:v>13200</x:v>
      </x:c>
      <x:c r="E6" s="66" t="n">
        <x:f>D9</x:f>
        <x:v>14500</x:v>
      </x:c>
      <x:c r="F6" s="66" t="n">
        <x:f>E9</x:f>
        <x:v>15813.214285714286</x:v>
      </x:c>
      <x:c r="G6" s="66" t="n">
        <x:f>F9</x:f>
        <x:v>17111.819387755102</x:v>
      </x:c>
      <x:c r="H6" s="66" t="n">
        <x:f>G9</x:f>
        <x:v>18387.4287430758</x:v>
      </x:c>
      <x:c r="I6" s="66" t="n">
        <x:f>H9</x:f>
        <x:v>19630.479542100686</x:v>
      </x:c>
    </x:row>
    <x:row r="7">
      <x:c r="A7" t="str">
        <x:v>Capital Expenditures</x:v>
      </x:c>
      <x:c r="B7" s="48" t="n">
        <x:v>3500</x:v>
      </x:c>
      <x:c r="C7" s="48" t="n">
        <x:v>3900</x:v>
      </x:c>
      <x:c r="D7" s="48" t="n">
        <x:v>4200</x:v>
      </x:c>
      <x:c r="E7" s="66" t="n">
        <x:f>'Operating Model'!E6*Assumptions!E17</x:f>
        <x:v>3645</x:v>
      </x:c>
      <x:c r="F7" s="66" t="n">
        <x:f>'Operating Model'!F6*Assumptions!F17</x:f>
        <x:v>3831.2999999999997</x:v>
      </x:c>
      <x:c r="G7" s="66" t="n">
        <x:f>'Operating Model'!G6*Assumptions!G17</x:f>
        <x:v>4006.32075</x:v>
      </x:c>
      <x:c r="H7" s="66" t="n">
        <x:f>'Operating Model'!H6*Assumptions!H17</x:f>
        <x:v>4167.5052825</x:v>
      </x:c>
      <x:c r="I7" s="66" t="n">
        <x:f>'Operating Model'!I6*Assumptions!I17</x:f>
        <x:v>4207.195809</x:v>
      </x:c>
    </x:row>
    <x:row r="8">
      <x:c r="A8" t="str">
        <x:v>Depreciation</x:v>
      </x:c>
      <x:c r="B8" s="48" t="n">
        <x:v>2200</x:v>
      </x:c>
      <x:c r="C8" s="48" t="n">
        <x:v>2700</x:v>
      </x:c>
      <x:c r="D8" s="48" t="n">
        <x:v>2900</x:v>
      </x:c>
      <x:c r="E8" s="66" t="n">
        <x:f>E6/Assumptions!E18+E7/Assumptions!E18/2</x:f>
        <x:v>2331.785714285714</x:v>
      </x:c>
      <x:c r="F8" s="66" t="n">
        <x:f>F6/Assumptions!F18+F7/Assumptions!F18/2</x:f>
        <x:v>2532.6948979591834</x:v>
      </x:c>
      <x:c r="G8" s="66" t="n">
        <x:f>G6/Assumptions!G18+G7/Assumptions!G18/2</x:f>
        <x:v>2730.7113946793</x:v>
      </x:c>
      <x:c r="H8" s="66" t="n">
        <x:f>H6/Assumptions!H18+H7/Assumptions!H18/2</x:f>
        <x:v>2924.4544834751146</x:v>
      </x:c>
      <x:c r="I8" s="66" t="n">
        <x:f>I6/Assumptions!I18+I7/Assumptions!I18/2</x:f>
        <x:v>3104.868206657241</x:v>
      </x:c>
    </x:row>
    <x:row r="9">
      <x:c r="A9" t="str">
        <x:v>Ending Net PP&amp;E</x:v>
      </x:c>
      <x:c r="B9" s="48" t="n">
        <x:v>12000</x:v>
      </x:c>
      <x:c r="C9" s="48" t="n">
        <x:v>13200</x:v>
      </x:c>
      <x:c r="D9" s="48" t="n">
        <x:v>14500</x:v>
      </x:c>
      <x:c r="E9" s="66" t="n">
        <x:f>E6+E7-E8</x:f>
        <x:v>15813.214285714286</x:v>
      </x:c>
      <x:c r="F9" s="66" t="n">
        <x:f>F6+F7-F8</x:f>
        <x:v>17111.819387755102</x:v>
      </x:c>
      <x:c r="G9" s="66" t="n">
        <x:f>G6+G7-G8</x:f>
        <x:v>18387.4287430758</x:v>
      </x:c>
      <x:c r="H9" s="66" t="n">
        <x:f>H6+H7-H8</x:f>
        <x:v>19630.479542100686</x:v>
      </x:c>
      <x:c r="I9" s="66" t="n">
        <x:f>I6+I7-I8</x:f>
        <x:v>20732.807144443446</x:v>
      </x:c>
    </x:row>
    <x:row r="10">
      <x:c r="A10" t="str">
        <x:v>CapEx % Revenue</x:v>
      </x:c>
      <x:c r="B10" s="62" t="n">
        <x:f>B7/'Operating Model'!B6</x:f>
        <x:v>0.056451612903225805</x:v>
      </x:c>
      <x:c r="C10" s="62" t="n">
        <x:f>C7/'Operating Model'!C6</x:f>
        <x:v>0.05693430656934306</x:v>
      </x:c>
      <x:c r="D10" s="62" t="n">
        <x:f>D7/'Operating Model'!D6</x:f>
        <x:v>0.056</x:v>
      </x:c>
      <x:c r="E10" s="67" t="n">
        <x:f>E7/'Operating Model'!E6</x:f>
        <x:v>0.045</x:v>
      </x:c>
      <x:c r="F10" s="67" t="n">
        <x:f>F7/'Operating Model'!F6</x:f>
        <x:v>0.044</x:v>
      </x:c>
      <x:c r="G10" s="67" t="n">
        <x:f>G7/'Operating Model'!G6</x:f>
        <x:v>0.043</x:v>
      </x:c>
      <x:c r="H10" s="67" t="n">
        <x:f>H7/'Operating Model'!H6</x:f>
        <x:v>0.04200000000000001</x:v>
      </x:c>
      <x:c r="I10" s="67" t="n">
        <x:f>I7/'Operating Model'!I6</x:f>
        <x:v>0.04</x:v>
      </x:c>
    </x:row>
    <x:row r="11">
      <x:c r="A11" t="str">
        <x:v>D&amp;A % Revenue</x:v>
      </x:c>
      <x:c r="B11" s="62" t="n">
        <x:f>B8/'Operating Model'!B6</x:f>
        <x:v>0.035483870967741936</x:v>
      </x:c>
      <x:c r="C11" s="62" t="n">
        <x:f>C8/'Operating Model'!C6</x:f>
        <x:v>0.03941605839416058</x:v>
      </x:c>
      <x:c r="D11" s="62" t="n">
        <x:f>D8/'Operating Model'!D6</x:f>
        <x:v>0.03866666666666667</x:v>
      </x:c>
      <x:c r="E11" s="67" t="n">
        <x:f>E8/'Operating Model'!E6</x:f>
        <x:v>0.02878747795414462</x:v>
      </x:c>
      <x:c r="F11" s="67" t="n">
        <x:f>F8/'Operating Model'!F6</x:f>
        <x:v>0.029086361159450857</x:v>
      </x:c>
      <x:c r="G11" s="67" t="n">
        <x:f>G8/'Operating Model'!G6</x:f>
        <x:v>0.029308834039613506</x:v>
      </x:c>
      <x:c r="H11" s="67" t="n">
        <x:f>H8/'Operating Model'!H6</x:f>
        <x:v>0.029472569314242934</x:v>
      </x:c>
      <x:c r="I11" s="67" t="n">
        <x:f>I8/'Operating Model'!I6</x:f>
        <x:v>0.029519597828228782</x:v>
      </x:c>
    </x:row>
  </x:sheetData>
  <x:mergeCells>
    <x:mergeCell ref="A1:I1"/>
    <x:mergeCell ref="A5:I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DEBT &amp; INTEREST SCHEDULE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Debt Roll-Forward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Beginning Debt</x:v>
      </x:c>
      <x:c r="B6" s="48" t="n">
        <x:v>16000</x:v>
      </x:c>
      <x:c r="C6" s="48" t="n">
        <x:f>B9</x:f>
        <x:v>15000</x:v>
      </x:c>
      <x:c r="D6" s="48" t="n">
        <x:f>C9</x:f>
        <x:v>14000</x:v>
      </x:c>
      <x:c r="E6" s="66" t="n">
        <x:f>D9</x:f>
        <x:v>13000</x:v>
      </x:c>
      <x:c r="F6" s="66" t="n">
        <x:f>E9</x:f>
        <x:v>11500</x:v>
      </x:c>
      <x:c r="G6" s="66" t="n">
        <x:f>F9</x:f>
        <x:v>10000</x:v>
      </x:c>
      <x:c r="H6" s="66" t="n">
        <x:f>G9</x:f>
        <x:v>8500</x:v>
      </x:c>
      <x:c r="I6" s="66" t="n">
        <x:f>H9</x:f>
        <x:v>7000</x:v>
      </x:c>
    </x:row>
    <x:row r="7">
      <x:c r="A7" t="str">
        <x:v>New Borrowing</x:v>
      </x:c>
      <x:c r="B7" s="48" t="n">
        <x:v>0</x:v>
      </x:c>
      <x:c r="C7" s="48" t="n">
        <x:v>0</x:v>
      </x:c>
      <x:c r="D7" s="48" t="n">
        <x:v>0</x:v>
      </x:c>
      <x:c r="E7" s="66" t="n">
        <x:v>0</x:v>
      </x:c>
      <x:c r="F7" s="66" t="n">
        <x:v>0</x:v>
      </x:c>
      <x:c r="G7" s="66" t="n">
        <x:v>0</x:v>
      </x:c>
      <x:c r="H7" s="66" t="n">
        <x:v>0</x:v>
      </x:c>
      <x:c r="I7" s="66" t="n">
        <x:v>0</x:v>
      </x:c>
    </x:row>
    <x:row r="8">
      <x:c r="A8" t="str">
        <x:v>Scheduled Repayment</x:v>
      </x:c>
      <x:c r="B8" s="48" t="n">
        <x:v>1000</x:v>
      </x:c>
      <x:c r="C8" s="48" t="n">
        <x:v>1000</x:v>
      </x:c>
      <x:c r="D8" s="48" t="n">
        <x:v>1000</x:v>
      </x:c>
      <x:c r="E8" s="66" t="n">
        <x:f>MIN(E6,Assumptions!E23)</x:f>
        <x:v>1500</x:v>
      </x:c>
      <x:c r="F8" s="66" t="n">
        <x:f>MIN(F6,Assumptions!F23)</x:f>
        <x:v>1500</x:v>
      </x:c>
      <x:c r="G8" s="66" t="n">
        <x:f>MIN(G6,Assumptions!G23)</x:f>
        <x:v>1500</x:v>
      </x:c>
      <x:c r="H8" s="66" t="n">
        <x:f>MIN(H6,Assumptions!H23)</x:f>
        <x:v>1500</x:v>
      </x:c>
      <x:c r="I8" s="66" t="n">
        <x:f>MIN(I6,Assumptions!I23)</x:f>
        <x:v>1500</x:v>
      </x:c>
    </x:row>
    <x:row r="9">
      <x:c r="A9" t="str">
        <x:v>Ending Debt</x:v>
      </x:c>
      <x:c r="B9" s="48" t="n">
        <x:v>15000</x:v>
      </x:c>
      <x:c r="C9" s="48" t="n">
        <x:v>14000</x:v>
      </x:c>
      <x:c r="D9" s="48" t="n">
        <x:v>13000</x:v>
      </x:c>
      <x:c r="E9" s="66" t="n">
        <x:f>E6+E7-E8</x:f>
        <x:v>11500</x:v>
      </x:c>
      <x:c r="F9" s="66" t="n">
        <x:f>F6+F7-F8</x:f>
        <x:v>10000</x:v>
      </x:c>
      <x:c r="G9" s="66" t="n">
        <x:f>G6+G7-G8</x:f>
        <x:v>8500</x:v>
      </x:c>
      <x:c r="H9" s="66" t="n">
        <x:f>H6+H7-H8</x:f>
        <x:v>7000</x:v>
      </x:c>
      <x:c r="I9" s="66" t="n">
        <x:f>I6+I7-I8</x:f>
        <x:v>5500</x:v>
      </x:c>
    </x:row>
    <x:row r="10">
      <x:c r="A10" t="str">
        <x:v>Average Debt</x:v>
      </x:c>
      <x:c r="B10" s="48"/>
      <x:c r="C10" s="48"/>
      <x:c r="D10" s="48"/>
      <x:c r="E10" s="66" t="n">
        <x:f>AVERAGE(E6,E9)</x:f>
        <x:v>12250</x:v>
      </x:c>
      <x:c r="F10" s="66" t="n">
        <x:f>AVERAGE(F6,F9)</x:f>
        <x:v>10750</x:v>
      </x:c>
      <x:c r="G10" s="66" t="n">
        <x:f>AVERAGE(G6,G9)</x:f>
        <x:v>9250</x:v>
      </x:c>
      <x:c r="H10" s="66" t="n">
        <x:f>AVERAGE(H6,H9)</x:f>
        <x:v>7750</x:v>
      </x:c>
      <x:c r="I10" s="66" t="n">
        <x:f>AVERAGE(I6,I9)</x:f>
        <x:v>6250</x:v>
      </x:c>
    </x:row>
    <x:row r="11">
      <x:c r="A11" t="str">
        <x:v>Interest Expense</x:v>
      </x:c>
      <x:c r="B11" s="48" t="n">
        <x:v>1100</x:v>
      </x:c>
      <x:c r="C11" s="48" t="n">
        <x:v>1000</x:v>
      </x:c>
      <x:c r="D11" s="48" t="n">
        <x:v>900</x:v>
      </x:c>
      <x:c r="E11" s="66" t="n">
        <x:f>E10*Assumptions!E22</x:f>
        <x:v>796.25</x:v>
      </x:c>
      <x:c r="F11" s="66" t="n">
        <x:f>F10*Assumptions!F22</x:f>
        <x:v>666.5</x:v>
      </x:c>
      <x:c r="G11" s="66" t="n">
        <x:f>G10*Assumptions!G22</x:f>
        <x:v>555</x:v>
      </x:c>
      <x:c r="H11" s="66" t="n">
        <x:f>H10*Assumptions!H22</x:f>
        <x:v>449.5</x:v>
      </x:c>
      <x:c r="I11" s="66" t="n">
        <x:f>I10*Assumptions!I22</x:f>
        <x:v>343.75</x:v>
      </x:c>
    </x:row>
  </x:sheetData>
  <x:mergeCells>
    <x:mergeCell ref="A1:I1"/>
    <x:mergeCell ref="A5:I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INCOME STATEMENT ($000)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Income Statement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Revenue</x:v>
      </x:c>
      <x:c r="B6" s="66" t="n">
        <x:f>'Operating Model'!B6</x:f>
        <x:v>62000</x:v>
      </x:c>
      <x:c r="C6" s="66" t="n">
        <x:f>'Operating Model'!C6</x:f>
        <x:v>68500</x:v>
      </x:c>
      <x:c r="D6" s="66" t="n">
        <x:f>'Operating Model'!D6</x:f>
        <x:v>75000</x:v>
      </x:c>
      <x:c r="E6" s="66" t="n">
        <x:f>'Operating Model'!E6</x:f>
        <x:v>81000</x:v>
      </x:c>
      <x:c r="F6" s="66" t="n">
        <x:f>'Operating Model'!F6</x:f>
        <x:v>87075</x:v>
      </x:c>
      <x:c r="G6" s="66" t="n">
        <x:f>'Operating Model'!G6</x:f>
        <x:v>93170.25</x:v>
      </x:c>
      <x:c r="H6" s="66" t="n">
        <x:f>'Operating Model'!H6</x:f>
        <x:v>99226.31624999999</x:v>
      </x:c>
      <x:c r="I6" s="66" t="n">
        <x:f>'Operating Model'!I6</x:f>
        <x:v>105179.895225</x:v>
      </x:c>
    </x:row>
    <x:row r="7">
      <x:c r="A7" t="str">
        <x:v>COGS</x:v>
      </x:c>
      <x:c r="B7" s="66" t="n">
        <x:f>'Operating Model'!B7</x:f>
        <x:v>37500</x:v>
      </x:c>
      <x:c r="C7" s="66" t="n">
        <x:f>'Operating Model'!C7</x:f>
        <x:v>40800</x:v>
      </x:c>
      <x:c r="D7" s="66" t="n">
        <x:f>'Operating Model'!D7</x:f>
        <x:v>44400</x:v>
      </x:c>
      <x:c r="E7" s="66" t="n">
        <x:f>'Operating Model'!E7</x:f>
        <x:v>48195</x:v>
      </x:c>
      <x:c r="F7" s="66" t="n">
        <x:f>'Operating Model'!F7</x:f>
        <x:v>51374.25</x:v>
      </x:c>
      <x:c r="G7" s="66" t="n">
        <x:f>'Operating Model'!G7</x:f>
        <x:v>54504.59625</x:v>
      </x:c>
      <x:c r="H7" s="66" t="n">
        <x:f>'Operating Model'!H7</x:f>
        <x:v>57551.263425</x:v>
      </x:c>
      <x:c r="I7" s="66" t="n">
        <x:f>'Operating Model'!I7</x:f>
        <x:v>60478.439754375</x:v>
      </x:c>
    </x:row>
    <x:row r="8">
      <x:c r="A8" s="95" t="str">
        <x:v>Gross Profit</x:v>
      </x:c>
      <x:c r="B8" s="96" t="n">
        <x:f>B6-B7</x:f>
        <x:v>24500</x:v>
      </x:c>
      <x:c r="C8" s="96" t="n">
        <x:f>C6-C7</x:f>
        <x:v>27700</x:v>
      </x:c>
      <x:c r="D8" s="96" t="n">
        <x:f>D6-D7</x:f>
        <x:v>30600</x:v>
      </x:c>
      <x:c r="E8" s="96" t="n">
        <x:f>E6-E7</x:f>
        <x:v>32805</x:v>
      </x:c>
      <x:c r="F8" s="96" t="n">
        <x:f>F6-F7</x:f>
        <x:v>35700.75</x:v>
      </x:c>
      <x:c r="G8" s="96" t="n">
        <x:f>G6-G7</x:f>
        <x:v>38665.65375</x:v>
      </x:c>
      <x:c r="H8" s="96" t="n">
        <x:f>H6-H7</x:f>
        <x:v>41675.05282499999</x:v>
      </x:c>
      <x:c r="I8" s="96" t="n">
        <x:f>I6-I7</x:f>
        <x:v>44701.455470625</x:v>
      </x:c>
    </x:row>
    <x:row r="9">
      <x:c r="A9" t="str">
        <x:v>Gross Margin</x:v>
      </x:c>
      <x:c r="B9" s="67" t="n">
        <x:f>B8/B6</x:f>
        <x:v>0.3951612903225806</x:v>
      </x:c>
      <x:c r="C9" s="67" t="n">
        <x:f>C8/C6</x:f>
        <x:v>0.4043795620437956</x:v>
      </x:c>
      <x:c r="D9" s="67" t="n">
        <x:f>D8/D6</x:f>
        <x:v>0.408</x:v>
      </x:c>
      <x:c r="E9" s="67" t="n">
        <x:f>E8/E6</x:f>
        <x:v>0.405</x:v>
      </x:c>
      <x:c r="F9" s="67" t="n">
        <x:f>F8/F6</x:f>
        <x:v>0.41</x:v>
      </x:c>
      <x:c r="G9" s="67" t="n">
        <x:f>G8/G6</x:f>
        <x:v>0.415</x:v>
      </x:c>
      <x:c r="H9" s="67" t="n">
        <x:f>H8/H6</x:f>
        <x:v>0.42</x:v>
      </x:c>
      <x:c r="I9" s="67" t="n">
        <x:f>I8/I6</x:f>
        <x:v>0.425</x:v>
      </x:c>
    </x:row>
    <x:row r="10">
      <x:c r="A10" t="str">
        <x:v>Operating Expenses</x:v>
      </x:c>
      <x:c r="B10" s="66" t="n">
        <x:f>'Operating Model'!B13</x:f>
        <x:v>15800</x:v>
      </x:c>
      <x:c r="C10" s="66" t="n">
        <x:f>'Operating Model'!C13</x:f>
        <x:v>17150</x:v>
      </x:c>
      <x:c r="D10" s="66" t="n">
        <x:f>'Operating Model'!D13</x:f>
        <x:v>18500</x:v>
      </x:c>
      <x:c r="E10" s="66" t="n">
        <x:f>'Operating Model'!E13</x:f>
        <x:v>21060</x:v>
      </x:c>
      <x:c r="F10" s="66" t="n">
        <x:f>'Operating Model'!F13</x:f>
        <x:v>22204.125</x:v>
      </x:c>
      <x:c r="G10" s="66" t="n">
        <x:f>'Operating Model'!G13</x:f>
        <x:v>23292.5625</x:v>
      </x:c>
      <x:c r="H10" s="66" t="n">
        <x:f>'Operating Model'!H13</x:f>
        <x:v>24310.447481249998</x:v>
      </x:c>
      <x:c r="I10" s="66" t="n">
        <x:f>'Operating Model'!I13</x:f>
        <x:v>25243.174854</x:v>
      </x:c>
    </x:row>
    <x:row r="11">
      <x:c r="A11" s="95" t="str">
        <x:v>EBITDA</x:v>
      </x:c>
      <x:c r="B11" s="96" t="n">
        <x:f>B8-B10</x:f>
        <x:v>8700</x:v>
      </x:c>
      <x:c r="C11" s="96" t="n">
        <x:f>C8-C10</x:f>
        <x:v>10550</x:v>
      </x:c>
      <x:c r="D11" s="96" t="n">
        <x:f>D8-D10</x:f>
        <x:v>12100</x:v>
      </x:c>
      <x:c r="E11" s="96" t="n">
        <x:f>E8-E10</x:f>
        <x:v>11745</x:v>
      </x:c>
      <x:c r="F11" s="96" t="n">
        <x:f>F8-F10</x:f>
        <x:v>13496.625</x:v>
      </x:c>
      <x:c r="G11" s="96" t="n">
        <x:f>G8-G10</x:f>
        <x:v>15373.091249999998</x:v>
      </x:c>
      <x:c r="H11" s="96" t="n">
        <x:f>H8-H10</x:f>
        <x:v>17364.605343749994</x:v>
      </x:c>
      <x:c r="I11" s="96" t="n">
        <x:f>I8-I10</x:f>
        <x:v>19458.280616624997</x:v>
      </x:c>
    </x:row>
    <x:row r="12">
      <x:c r="A12" t="str">
        <x:v>D&amp;A</x:v>
      </x:c>
      <x:c r="B12" s="66" t="n">
        <x:f>'CapEx &amp; D&amp;A'!B8</x:f>
        <x:v>2200</x:v>
      </x:c>
      <x:c r="C12" s="66" t="n">
        <x:f>'CapEx &amp; D&amp;A'!C8</x:f>
        <x:v>2700</x:v>
      </x:c>
      <x:c r="D12" s="66" t="n">
        <x:f>'CapEx &amp; D&amp;A'!D8</x:f>
        <x:v>2900</x:v>
      </x:c>
      <x:c r="E12" s="66" t="n">
        <x:f>'CapEx &amp; D&amp;A'!E8</x:f>
        <x:v>2331.785714285714</x:v>
      </x:c>
      <x:c r="F12" s="66" t="n">
        <x:f>'CapEx &amp; D&amp;A'!F8</x:f>
        <x:v>2532.6948979591834</x:v>
      </x:c>
      <x:c r="G12" s="66" t="n">
        <x:f>'CapEx &amp; D&amp;A'!G8</x:f>
        <x:v>2730.7113946793</x:v>
      </x:c>
      <x:c r="H12" s="66" t="n">
        <x:f>'CapEx &amp; D&amp;A'!H8</x:f>
        <x:v>2924.4544834751146</x:v>
      </x:c>
      <x:c r="I12" s="66" t="n">
        <x:f>'CapEx &amp; D&amp;A'!I8</x:f>
        <x:v>3104.868206657241</x:v>
      </x:c>
    </x:row>
    <x:row r="13">
      <x:c r="A13" s="95" t="str">
        <x:v>EBIT</x:v>
      </x:c>
      <x:c r="B13" s="96" t="n">
        <x:f>B11-B12</x:f>
        <x:v>6500</x:v>
      </x:c>
      <x:c r="C13" s="96" t="n">
        <x:f>C11-C12</x:f>
        <x:v>7850</x:v>
      </x:c>
      <x:c r="D13" s="96" t="n">
        <x:f>D11-D12</x:f>
        <x:v>9200</x:v>
      </x:c>
      <x:c r="E13" s="96" t="n">
        <x:f>E11-E12</x:f>
        <x:v>9413.214285714286</x:v>
      </x:c>
      <x:c r="F13" s="96" t="n">
        <x:f>F11-F12</x:f>
        <x:v>10963.930102040817</x:v>
      </x:c>
      <x:c r="G13" s="96" t="n">
        <x:f>G11-G12</x:f>
        <x:v>12642.379855320698</x:v>
      </x:c>
      <x:c r="H13" s="96" t="n">
        <x:f>H11-H12</x:f>
        <x:v>14440.15086027488</x:v>
      </x:c>
      <x:c r="I13" s="96" t="n">
        <x:f>I11-I12</x:f>
        <x:v>16353.412409967757</x:v>
      </x:c>
    </x:row>
    <x:row r="14">
      <x:c r="A14" t="str">
        <x:v>Interest Expense</x:v>
      </x:c>
      <x:c r="B14" s="66" t="n">
        <x:f>'Debt Schedule'!B11</x:f>
        <x:v>1100</x:v>
      </x:c>
      <x:c r="C14" s="66" t="n">
        <x:f>'Debt Schedule'!C11</x:f>
        <x:v>1000</x:v>
      </x:c>
      <x:c r="D14" s="66" t="n">
        <x:f>'Debt Schedule'!D11</x:f>
        <x:v>900</x:v>
      </x:c>
      <x:c r="E14" s="66" t="n">
        <x:f>'Debt Schedule'!E11</x:f>
        <x:v>796.25</x:v>
      </x:c>
      <x:c r="F14" s="66" t="n">
        <x:f>'Debt Schedule'!F11</x:f>
        <x:v>666.5</x:v>
      </x:c>
      <x:c r="G14" s="66" t="n">
        <x:f>'Debt Schedule'!G11</x:f>
        <x:v>555</x:v>
      </x:c>
      <x:c r="H14" s="66" t="n">
        <x:f>'Debt Schedule'!H11</x:f>
        <x:v>449.5</x:v>
      </x:c>
      <x:c r="I14" s="66" t="n">
        <x:f>'Debt Schedule'!I11</x:f>
        <x:v>343.75</x:v>
      </x:c>
    </x:row>
    <x:row r="15">
      <x:c r="A15" s="95" t="str">
        <x:v>EBT</x:v>
      </x:c>
      <x:c r="B15" s="96" t="n">
        <x:f>B13-B14</x:f>
        <x:v>5400</x:v>
      </x:c>
      <x:c r="C15" s="96" t="n">
        <x:f>C13-C14</x:f>
        <x:v>6850</x:v>
      </x:c>
      <x:c r="D15" s="96" t="n">
        <x:f>D13-D14</x:f>
        <x:v>8300</x:v>
      </x:c>
      <x:c r="E15" s="96" t="n">
        <x:f>E13-E14</x:f>
        <x:v>8616.964285714286</x:v>
      </x:c>
      <x:c r="F15" s="96" t="n">
        <x:f>F13-F14</x:f>
        <x:v>10297.430102040817</x:v>
      </x:c>
      <x:c r="G15" s="96" t="n">
        <x:f>G13-G14</x:f>
        <x:v>12087.379855320698</x:v>
      </x:c>
      <x:c r="H15" s="96" t="n">
        <x:f>H13-H14</x:f>
        <x:v>13990.65086027488</x:v>
      </x:c>
      <x:c r="I15" s="96" t="n">
        <x:f>I13-I14</x:f>
        <x:v>16009.662409967757</x:v>
      </x:c>
    </x:row>
    <x:row r="16">
      <x:c r="A16" t="str">
        <x:v>Taxes</x:v>
      </x:c>
      <x:c r="B16" s="66" t="n">
        <x:f>MAX(0,B15*25%)</x:f>
        <x:v>1350</x:v>
      </x:c>
      <x:c r="C16" s="66" t="n">
        <x:f>MAX(0,C15*25%)</x:f>
        <x:v>1712.5</x:v>
      </x:c>
      <x:c r="D16" s="66" t="n">
        <x:f>MAX(0,D15*25%)</x:f>
        <x:v>2075</x:v>
      </x:c>
      <x:c r="E16" s="66" t="n">
        <x:f>MAX(0,E15*Assumptions!E11)</x:f>
        <x:v>2154.2410714285716</x:v>
      </x:c>
      <x:c r="F16" s="66" t="n">
        <x:f>MAX(0,F15*Assumptions!F11)</x:f>
        <x:v>2574.357525510204</x:v>
      </x:c>
      <x:c r="G16" s="66" t="n">
        <x:f>MAX(0,G15*Assumptions!G11)</x:f>
        <x:v>3021.8449638301745</x:v>
      </x:c>
      <x:c r="H16" s="66" t="n">
        <x:f>MAX(0,H15*Assumptions!H11)</x:f>
        <x:v>3497.66271506872</x:v>
      </x:c>
      <x:c r="I16" s="66" t="n">
        <x:f>MAX(0,I15*Assumptions!I11)</x:f>
        <x:v>4002.4156024919394</x:v>
      </x:c>
    </x:row>
    <x:row r="17">
      <x:c r="A17" s="95" t="str">
        <x:v>Net Income</x:v>
      </x:c>
      <x:c r="B17" s="96" t="n">
        <x:f>B15-B16</x:f>
        <x:v>4050</x:v>
      </x:c>
      <x:c r="C17" s="96" t="n">
        <x:f>C15-C16</x:f>
        <x:v>5137.5</x:v>
      </x:c>
      <x:c r="D17" s="96" t="n">
        <x:f>D15-D16</x:f>
        <x:v>6225</x:v>
      </x:c>
      <x:c r="E17" s="96" t="n">
        <x:f>E15-E16</x:f>
        <x:v>6462.723214285715</x:v>
      </x:c>
      <x:c r="F17" s="96" t="n">
        <x:f>F15-F16</x:f>
        <x:v>7723.072576530612</x:v>
      </x:c>
      <x:c r="G17" s="96" t="n">
        <x:f>G15-G16</x:f>
        <x:v>9065.534891490523</x:v>
      </x:c>
      <x:c r="H17" s="96" t="n">
        <x:f>H15-H16</x:f>
        <x:v>10492.98814520616</x:v>
      </x:c>
      <x:c r="I17" s="96" t="n">
        <x:f>I15-I16</x:f>
        <x:v>12007.246807475818</x:v>
      </x:c>
    </x:row>
    <x:row r="18">
      <x:c r="A18" t="str">
        <x:v>Net Margin</x:v>
      </x:c>
      <x:c r="B18" s="67" t="n">
        <x:f>B17/B6</x:f>
        <x:v>0.06532258064516129</x:v>
      </x:c>
      <x:c r="C18" s="67" t="n">
        <x:f>C17/C6</x:f>
        <x:v>0.075</x:v>
      </x:c>
      <x:c r="D18" s="67" t="n">
        <x:f>D17/D6</x:f>
        <x:v>0.083</x:v>
      </x:c>
      <x:c r="E18" s="67" t="n">
        <x:f>E17/E6</x:f>
        <x:v>0.07978670634920636</x:v>
      </x:c>
      <x:c r="F18" s="67" t="n">
        <x:f>F17/F6</x:f>
        <x:v>0.08869448838967112</x:v>
      </x:c>
      <x:c r="G18" s="67" t="n">
        <x:f>G17/G6</x:f>
        <x:v>0.09730074665991047</x:v>
      </x:c>
      <x:c r="H18" s="67" t="n">
        <x:f>H17/H6</x:f>
        <x:v>0.10574803682895122</x:v>
      </x:c>
      <x:c r="I18" s="67" t="n">
        <x:f>I17/I6</x:f>
        <x:v>0.11415914402453065</x:v>
      </x:c>
    </x:row>
  </x:sheetData>
  <x:mergeCells>
    <x:mergeCell ref="A1:I1"/>
    <x:mergeCell ref="A5:I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BALANCE SHEET ($000)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Assets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Cash</x:v>
      </x:c>
      <x:c r="B6" s="48" t="n">
        <x:v>6000</x:v>
      </x:c>
      <x:c r="C6" s="48" t="n">
        <x:v>6800</x:v>
      </x:c>
      <x:c r="D6" s="48" t="n">
        <x:v>7500</x:v>
      </x:c>
      <x:c r="E6" s="66" t="n">
        <x:f>'Cash Flow'!E19</x:f>
        <x:v>9290.56619985323</x:v>
      </x:c>
      <x:c r="F6" s="66" t="n">
        <x:f>'Cash Flow'!F19</x:f>
        <x:v>12809.300870055216</x:v>
      </x:c>
      <x:c r="G6" s="66" t="n">
        <x:f>'Cash Flow'!G19</x:f>
        <x:v>17577.86608346036</x:v>
      </x:c>
      <x:c r="H6" s="66" t="n">
        <x:f>'Cash Flow'!H19</x:f>
        <x:v>23684.807118477154</x:v>
      </x:c>
      <x:c r="I6" s="66" t="n">
        <x:f>'Cash Flow'!I19</x:f>
        <x:v>31151.761356648083</x:v>
      </x:c>
    </x:row>
    <x:row r="7">
      <x:c r="A7" t="str">
        <x:v>Accounts Receivable</x:v>
      </x:c>
      <x:c r="B7" s="60" t="n">
        <x:f>'Working Capital'!B8</x:f>
        <x:v>7200</x:v>
      </x:c>
      <x:c r="C7" s="60" t="n">
        <x:f>'Working Capital'!C8</x:f>
        <x:v>8100</x:v>
      </x:c>
      <x:c r="D7" s="60" t="n">
        <x:f>'Working Capital'!D8</x:f>
        <x:v>9000</x:v>
      </x:c>
      <x:c r="E7" s="66" t="n">
        <x:f>'Working Capital'!E8</x:f>
        <x:v>9320.547945205479</x:v>
      </x:c>
      <x:c r="F7" s="66" t="n">
        <x:f>'Working Capital'!F8</x:f>
        <x:v>9781.027397260274</x:v>
      </x:c>
      <x:c r="G7" s="66" t="n">
        <x:f>'Working Capital'!G8</x:f>
        <x:v>10210.438356164384</x:v>
      </x:c>
      <x:c r="H7" s="66" t="n">
        <x:f>'Working Capital'!H8</x:f>
        <x:v>10602.26392808219</x:v>
      </x:c>
      <x:c r="I7" s="66" t="n">
        <x:f>'Working Capital'!I8</x:f>
        <x:v>10950.235667260275</x:v>
      </x:c>
    </x:row>
    <x:row r="8">
      <x:c r="A8" t="str">
        <x:v>Inventory</x:v>
      </x:c>
      <x:c r="B8" s="60" t="n">
        <x:f>'Working Capital'!B10</x:f>
        <x:v>6500</x:v>
      </x:c>
      <x:c r="C8" s="60" t="n">
        <x:f>'Working Capital'!C10</x:f>
        <x:v>7100</x:v>
      </x:c>
      <x:c r="D8" s="60" t="n">
        <x:f>'Working Capital'!D10</x:f>
        <x:v>7600</x:v>
      </x:c>
      <x:c r="E8" s="66" t="n">
        <x:f>'Working Capital'!E10</x:f>
        <x:v>8186.54794520548</x:v>
      </x:c>
      <x:c r="F8" s="66" t="n">
        <x:f>'Working Capital'!F10</x:f>
        <x:v>8445.082191780823</x:v>
      </x:c>
      <x:c r="G8" s="66" t="n">
        <x:f>'Working Capital'!G10</x:f>
        <x:v>8661.004335616439</x:v>
      </x:c>
      <x:c r="H8" s="66" t="n">
        <x:f>'Working Capital'!H10</x:f>
        <x:v>8829.782881643834</x:v>
      </x:c>
      <x:c r="I8" s="66" t="n">
        <x:f>'Working Capital'!I10</x:f>
        <x:v>9113.18955202911</x:v>
      </x:c>
    </x:row>
    <x:row r="9">
      <x:c r="A9" t="str">
        <x:v>Net PP&amp;E</x:v>
      </x:c>
      <x:c r="B9" s="60" t="n">
        <x:f>'CapEx &amp; D&amp;A'!B9</x:f>
        <x:v>12000</x:v>
      </x:c>
      <x:c r="C9" s="60" t="n">
        <x:f>'CapEx &amp; D&amp;A'!C9</x:f>
        <x:v>13200</x:v>
      </x:c>
      <x:c r="D9" s="60" t="n">
        <x:f>'CapEx &amp; D&amp;A'!D9</x:f>
        <x:v>14500</x:v>
      </x:c>
      <x:c r="E9" s="66" t="n">
        <x:f>'CapEx &amp; D&amp;A'!E9</x:f>
        <x:v>15813.214285714286</x:v>
      </x:c>
      <x:c r="F9" s="66" t="n">
        <x:f>'CapEx &amp; D&amp;A'!F9</x:f>
        <x:v>17111.819387755102</x:v>
      </x:c>
      <x:c r="G9" s="66" t="n">
        <x:f>'CapEx &amp; D&amp;A'!G9</x:f>
        <x:v>18387.4287430758</x:v>
      </x:c>
      <x:c r="H9" s="66" t="n">
        <x:f>'CapEx &amp; D&amp;A'!H9</x:f>
        <x:v>19630.479542100686</x:v>
      </x:c>
      <x:c r="I9" s="66" t="n">
        <x:f>'CapEx &amp; D&amp;A'!I9</x:f>
        <x:v>20732.807144443446</x:v>
      </x:c>
    </x:row>
    <x:row r="10">
      <x:c r="A10" s="95" t="str">
        <x:v>Total Assets</x:v>
      </x:c>
      <x:c r="B10" s="99" t="n">
        <x:f>SUM(B6:B9)</x:f>
        <x:v>31700</x:v>
      </x:c>
      <x:c r="C10" s="99" t="n">
        <x:f>SUM(C6:C9)</x:f>
        <x:v>35200</x:v>
      </x:c>
      <x:c r="D10" s="99" t="n">
        <x:f>SUM(D6:D9)</x:f>
        <x:v>38600</x:v>
      </x:c>
      <x:c r="E10" s="96" t="n">
        <x:f>SUM(E6:E9)</x:f>
        <x:v>42610.87637597848</x:v>
      </x:c>
      <x:c r="F10" s="96" t="n">
        <x:f>SUM(F6:F9)</x:f>
        <x:v>48147.22984685141</x:v>
      </x:c>
      <x:c r="G10" s="96" t="n">
        <x:f>SUM(G6:G9)</x:f>
        <x:v>54836.73751831698</x:v>
      </x:c>
      <x:c r="H10" s="96" t="n">
        <x:f>SUM(H6:H9)</x:f>
        <x:v>62747.33347030386</x:v>
      </x:c>
      <x:c r="I10" s="96" t="n">
        <x:f>SUM(I6:I9)</x:f>
        <x:v>71947.99372038091</x:v>
      </x:c>
    </x:row>
    <x:row r="11">
      <x:c r="B11" s="60"/>
      <x:c r="C11" s="60"/>
      <x:c r="D11" s="60"/>
      <x:c r="E11" s="66"/>
      <x:c r="F11" s="66"/>
      <x:c r="G11" s="66"/>
      <x:c r="H11" s="66"/>
      <x:c r="I11" s="66"/>
    </x:row>
    <x:row r="12">
      <x:c r="A12" s="37" t="str">
        <x:v>Liabilities &amp; Equity</x:v>
      </x:c>
      <x:c r="B12" s="72"/>
      <x:c r="C12" s="72"/>
      <x:c r="D12" s="72"/>
      <x:c r="E12" s="74"/>
      <x:c r="F12" s="74"/>
      <x:c r="G12" s="74"/>
      <x:c r="H12" s="74"/>
      <x:c r="I12" s="74"/>
    </x:row>
    <x:row r="13">
      <x:c r="A13" t="str">
        <x:v>Accounts Payable</x:v>
      </x:c>
      <x:c r="B13" s="60" t="n">
        <x:f>'Working Capital'!B12</x:f>
        <x:v>4100</x:v>
      </x:c>
      <x:c r="C13" s="60" t="n">
        <x:f>'Working Capital'!C12</x:f>
        <x:v>4550</x:v>
      </x:c>
      <x:c r="D13" s="60" t="n">
        <x:f>'Working Capital'!D12</x:f>
        <x:v>5000</x:v>
      </x:c>
      <x:c r="E13" s="66" t="n">
        <x:f>'Working Capital'!E12</x:f>
        <x:v>5017.561643835616</x:v>
      </x:c>
      <x:c r="F13" s="66" t="n">
        <x:f>'Working Capital'!F12</x:f>
        <x:v>5489.303424657534</x:v>
      </x:c>
      <x:c r="G13" s="66" t="n">
        <x:f>'Working Capital'!G12</x:f>
        <x:v>5973.106438356164</x:v>
      </x:c>
      <x:c r="H13" s="66" t="n">
        <x:f>'Working Capital'!H12</x:f>
        <x:v>6464.662466917807</x:v>
      </x:c>
      <x:c r="I13" s="66" t="n">
        <x:f>'Working Capital'!I12</x:f>
        <x:v>6959.162930640411</x:v>
      </x:c>
    </x:row>
    <x:row r="14">
      <x:c r="A14" t="str">
        <x:v>Debt</x:v>
      </x:c>
      <x:c r="B14" s="60" t="n">
        <x:f>'Debt Schedule'!B9</x:f>
        <x:v>15000</x:v>
      </x:c>
      <x:c r="C14" s="60" t="n">
        <x:f>'Debt Schedule'!C9</x:f>
        <x:v>14000</x:v>
      </x:c>
      <x:c r="D14" s="60" t="n">
        <x:f>'Debt Schedule'!D9</x:f>
        <x:v>13000</x:v>
      </x:c>
      <x:c r="E14" s="66" t="n">
        <x:f>'Debt Schedule'!E9</x:f>
        <x:v>11500</x:v>
      </x:c>
      <x:c r="F14" s="66" t="n">
        <x:f>'Debt Schedule'!F9</x:f>
        <x:v>10000</x:v>
      </x:c>
      <x:c r="G14" s="66" t="n">
        <x:f>'Debt Schedule'!G9</x:f>
        <x:v>8500</x:v>
      </x:c>
      <x:c r="H14" s="66" t="n">
        <x:f>'Debt Schedule'!H9</x:f>
        <x:v>7000</x:v>
      </x:c>
      <x:c r="I14" s="66" t="n">
        <x:f>'Debt Schedule'!I9</x:f>
        <x:v>5500</x:v>
      </x:c>
    </x:row>
    <x:row r="15">
      <x:c r="A15" t="str">
        <x:v>Other Liabilities</x:v>
      </x:c>
      <x:c r="B15" s="48" t="n">
        <x:v>3500</x:v>
      </x:c>
      <x:c r="C15" s="48" t="n">
        <x:v>3700</x:v>
      </x:c>
      <x:c r="D15" s="48" t="n">
        <x:v>3900</x:v>
      </x:c>
      <x:c r="E15" s="66" t="n">
        <x:f>$D$15</x:f>
        <x:v>3900</x:v>
      </x:c>
      <x:c r="F15" s="66" t="n">
        <x:f>$D$15</x:f>
        <x:v>3900</x:v>
      </x:c>
      <x:c r="G15" s="66" t="n">
        <x:f>$D$15</x:f>
        <x:v>3900</x:v>
      </x:c>
      <x:c r="H15" s="66" t="n">
        <x:f>$D$15</x:f>
        <x:v>3900</x:v>
      </x:c>
      <x:c r="I15" s="66" t="n">
        <x:f>$D$15</x:f>
        <x:v>3900</x:v>
      </x:c>
    </x:row>
    <x:row r="16">
      <x:c r="A16" t="str">
        <x:v>Share Capital</x:v>
      </x:c>
      <x:c r="B16" s="48" t="n">
        <x:v>12000</x:v>
      </x:c>
      <x:c r="C16" s="48" t="n">
        <x:v>12000</x:v>
      </x:c>
      <x:c r="D16" s="48" t="n">
        <x:v>12000</x:v>
      </x:c>
      <x:c r="E16" s="66" t="n">
        <x:f>$D$16</x:f>
        <x:v>12000</x:v>
      </x:c>
      <x:c r="F16" s="66" t="n">
        <x:f>$D$16</x:f>
        <x:v>12000</x:v>
      </x:c>
      <x:c r="G16" s="66" t="n">
        <x:f>$D$16</x:f>
        <x:v>12000</x:v>
      </x:c>
      <x:c r="H16" s="66" t="n">
        <x:f>$D$16</x:f>
        <x:v>12000</x:v>
      </x:c>
      <x:c r="I16" s="66" t="n">
        <x:f>$D$16</x:f>
        <x:v>12000</x:v>
      </x:c>
    </x:row>
    <x:row r="17">
      <x:c r="A17" t="str">
        <x:v>Retained Earnings</x:v>
      </x:c>
      <x:c r="B17" s="101" t="n">
        <x:f>B10-SUM(B13:B16)</x:f>
        <x:v>-2900</x:v>
      </x:c>
      <x:c r="C17" s="101" t="n">
        <x:f>C10-SUM(C13:C16)</x:f>
        <x:v>950</x:v>
      </x:c>
      <x:c r="D17" s="101" t="n">
        <x:f>D10-SUM(D13:D16)</x:f>
        <x:v>4700</x:v>
      </x:c>
      <x:c r="E17" s="66" t="n">
        <x:f>D17+'Income Statement'!E17-'Income Statement'!E17*Assumptions!E24</x:f>
        <x:v>10193.314732142857</x:v>
      </x:c>
      <x:c r="F17" s="66" t="n">
        <x:f>E17+'Income Statement'!F17-'Income Statement'!F17*Assumptions!F24</x:f>
        <x:v>16757.926422193876</x:v>
      </x:c>
      <x:c r="G17" s="66" t="n">
        <x:f>F17+'Income Statement'!G17-'Income Statement'!G17*Assumptions!G24</x:f>
        <x:v>24463.631079960818</x:v>
      </x:c>
      <x:c r="H17" s="66" t="n">
        <x:f>G17+'Income Statement'!H17-'Income Statement'!H17*Assumptions!H24</x:f>
        <x:v>33382.67100338605</x:v>
      </x:c>
      <x:c r="I17" s="66" t="n">
        <x:f>H17+'Income Statement'!I17-'Income Statement'!I17*Assumptions!I24</x:f>
        <x:v>43588.830789740496</x:v>
      </x:c>
    </x:row>
    <x:row r="18">
      <x:c r="A18" s="95" t="str">
        <x:v>Total Liabilities &amp; Equity</x:v>
      </x:c>
      <x:c r="B18" s="99" t="n">
        <x:f>SUM(B13:B17)</x:f>
        <x:v>31700</x:v>
      </x:c>
      <x:c r="C18" s="99" t="n">
        <x:f>SUM(C13:C17)</x:f>
        <x:v>35200</x:v>
      </x:c>
      <x:c r="D18" s="99" t="n">
        <x:f>SUM(D13:D17)</x:f>
        <x:v>38600</x:v>
      </x:c>
      <x:c r="E18" s="96" t="n">
        <x:f>SUM(E13:E17)</x:f>
        <x:v>42610.87637597847</x:v>
      </x:c>
      <x:c r="F18" s="96" t="n">
        <x:f>SUM(F13:F17)</x:f>
        <x:v>48147.229846851405</x:v>
      </x:c>
      <x:c r="G18" s="96" t="n">
        <x:f>SUM(G13:G17)</x:f>
        <x:v>54836.73751831698</x:v>
      </x:c>
      <x:c r="H18" s="96" t="n">
        <x:f>SUM(H13:H17)</x:f>
        <x:v>62747.333470303856</x:v>
      </x:c>
      <x:c r="I18" s="96" t="n">
        <x:f>SUM(I13:I17)</x:f>
        <x:v>71947.99372038091</x:v>
      </x:c>
    </x:row>
  </x:sheetData>
  <x:mergeCells>
    <x:mergeCell ref="A1:I1"/>
    <x:mergeCell ref="A5:I5"/>
    <x:mergeCell ref="A12:I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CASH FLOW STATEMENT ($000)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Cash Flow from Operations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Net Income</x:v>
      </x:c>
      <x:c r="B6" s="60" t="n">
        <x:f>'Income Statement'!B17</x:f>
        <x:v>4050</x:v>
      </x:c>
      <x:c r="C6" s="60" t="n">
        <x:f>'Income Statement'!C17</x:f>
        <x:v>5137.5</x:v>
      </x:c>
      <x:c r="D6" s="60" t="n">
        <x:f>'Income Statement'!D17</x:f>
        <x:v>6225</x:v>
      </x:c>
      <x:c r="E6" s="66" t="n">
        <x:f>'Income Statement'!E17</x:f>
        <x:v>6462.723214285715</x:v>
      </x:c>
      <x:c r="F6" s="66" t="n">
        <x:f>'Income Statement'!F17</x:f>
        <x:v>7723.072576530612</x:v>
      </x:c>
      <x:c r="G6" s="66" t="n">
        <x:f>'Income Statement'!G17</x:f>
        <x:v>9065.534891490523</x:v>
      </x:c>
      <x:c r="H6" s="66" t="n">
        <x:f>'Income Statement'!H17</x:f>
        <x:v>10492.98814520616</x:v>
      </x:c>
      <x:c r="I6" s="66" t="n">
        <x:f>'Income Statement'!I17</x:f>
        <x:v>12007.246807475818</x:v>
      </x:c>
    </x:row>
    <x:row r="7">
      <x:c r="A7" t="str">
        <x:v>Depreciation</x:v>
      </x:c>
      <x:c r="B7" s="60" t="n">
        <x:f>'CapEx &amp; D&amp;A'!B8</x:f>
        <x:v>2200</x:v>
      </x:c>
      <x:c r="C7" s="60" t="n">
        <x:f>'CapEx &amp; D&amp;A'!C8</x:f>
        <x:v>2700</x:v>
      </x:c>
      <x:c r="D7" s="60" t="n">
        <x:f>'CapEx &amp; D&amp;A'!D8</x:f>
        <x:v>2900</x:v>
      </x:c>
      <x:c r="E7" s="66" t="n">
        <x:f>'CapEx &amp; D&amp;A'!E8</x:f>
        <x:v>2331.785714285714</x:v>
      </x:c>
      <x:c r="F7" s="66" t="n">
        <x:f>'CapEx &amp; D&amp;A'!F8</x:f>
        <x:v>2532.6948979591834</x:v>
      </x:c>
      <x:c r="G7" s="66" t="n">
        <x:f>'CapEx &amp; D&amp;A'!G8</x:f>
        <x:v>2730.7113946793</x:v>
      </x:c>
      <x:c r="H7" s="66" t="n">
        <x:f>'CapEx &amp; D&amp;A'!H8</x:f>
        <x:v>2924.4544834751146</x:v>
      </x:c>
      <x:c r="I7" s="66" t="n">
        <x:f>'CapEx &amp; D&amp;A'!I8</x:f>
        <x:v>3104.868206657241</x:v>
      </x:c>
    </x:row>
    <x:row r="8">
      <x:c r="A8" t="str">
        <x:v>Change in NWC</x:v>
      </x:c>
      <x:c r="B8" s="60" t="n">
        <x:f>-'Working Capital'!B15</x:f>
        <x:v>0</x:v>
      </x:c>
      <x:c r="C8" s="60" t="n">
        <x:f>-'Working Capital'!C15</x:f>
        <x:v>-1050</x:v>
      </x:c>
      <x:c r="D8" s="60" t="n">
        <x:f>-'Working Capital'!D15</x:f>
        <x:v>-950</x:v>
      </x:c>
      <x:c r="E8" s="66" t="n">
        <x:f>-'Working Capital'!E15</x:f>
        <x:v>-889.534246575342</x:v>
      </x:c>
      <x:c r="F8" s="66" t="n">
        <x:f>-'Working Capital'!F15</x:f>
        <x:v>-247.27191780821886</x:v>
      </x:c>
      <x:c r="G8" s="66" t="n">
        <x:f>-'Working Capital'!G15</x:f>
        <x:v>-161.5300890410981</x:v>
      </x:c>
      <x:c r="H8" s="66" t="n">
        <x:f>-'Working Capital'!H15</x:f>
        <x:v>-69.04808938355745</x:v>
      </x:c>
      <x:c r="I8" s="66" t="n">
        <x:f>-'Working Capital'!I15</x:f>
        <x:v>-136.8779458407571</x:v>
      </x:c>
    </x:row>
    <x:row r="9">
      <x:c r="A9" t="str">
        <x:v>Other Non-Cash / Liabilities</x:v>
      </x:c>
      <x:c r="B9" s="60" t="n">
        <x:v>0</x:v>
      </x:c>
      <x:c r="C9" s="60" t="n">
        <x:v>0</x:v>
      </x:c>
      <x:c r="D9" s="60" t="n">
        <x:v>0</x:v>
      </x:c>
      <x:c r="E9" s="66" t="n">
        <x:f>'Balance Sheet'!E15-'Balance Sheet'!D15</x:f>
        <x:v>0</x:v>
      </x:c>
      <x:c r="F9" s="66" t="n">
        <x:f>'Balance Sheet'!F15-'Balance Sheet'!E15</x:f>
        <x:v>0</x:v>
      </x:c>
      <x:c r="G9" s="66" t="n">
        <x:f>'Balance Sheet'!G15-'Balance Sheet'!F15</x:f>
        <x:v>0</x:v>
      </x:c>
      <x:c r="H9" s="66" t="n">
        <x:f>'Balance Sheet'!H15-'Balance Sheet'!G15</x:f>
        <x:v>0</x:v>
      </x:c>
      <x:c r="I9" s="66" t="n">
        <x:f>'Balance Sheet'!I15-'Balance Sheet'!H15</x:f>
        <x:v>0</x:v>
      </x:c>
    </x:row>
    <x:row r="10">
      <x:c r="A10" s="95" t="str">
        <x:v>Cash Flow from Operations</x:v>
      </x:c>
      <x:c r="B10" s="99" t="n">
        <x:f>SUM(B6:B9)</x:f>
        <x:v>6250</x:v>
      </x:c>
      <x:c r="C10" s="99" t="n">
        <x:f>SUM(C6:C9)</x:f>
        <x:v>6787.5</x:v>
      </x:c>
      <x:c r="D10" s="99" t="n">
        <x:f>SUM(D6:D9)</x:f>
        <x:v>8175</x:v>
      </x:c>
      <x:c r="E10" s="96" t="n">
        <x:f>SUM(E6:E9)</x:f>
        <x:v>7904.974681996087</x:v>
      </x:c>
      <x:c r="F10" s="96" t="n">
        <x:f>SUM(F6:F9)</x:f>
        <x:v>10008.495556681577</x:v>
      </x:c>
      <x:c r="G10" s="96" t="n">
        <x:f>SUM(G6:G9)</x:f>
        <x:v>11634.716197128724</x:v>
      </x:c>
      <x:c r="H10" s="96" t="n">
        <x:f>SUM(H6:H9)</x:f>
        <x:v>13348.394539297717</x:v>
      </x:c>
      <x:c r="I10" s="96" t="n">
        <x:f>SUM(I6:I9)</x:f>
        <x:v>14975.237068292301</x:v>
      </x:c>
    </x:row>
    <x:row r="11">
      <x:c r="B11" s="60"/>
      <x:c r="C11" s="60"/>
      <x:c r="D11" s="60"/>
      <x:c r="E11" s="66"/>
      <x:c r="F11" s="66"/>
      <x:c r="G11" s="66"/>
      <x:c r="H11" s="66"/>
      <x:c r="I11" s="66"/>
    </x:row>
    <x:row r="12">
      <x:c r="A12" s="37" t="str">
        <x:v>Investing &amp; Financing</x:v>
      </x:c>
      <x:c r="B12" s="72"/>
      <x:c r="C12" s="72"/>
      <x:c r="D12" s="72"/>
      <x:c r="E12" s="74"/>
      <x:c r="F12" s="74"/>
      <x:c r="G12" s="74"/>
      <x:c r="H12" s="74"/>
      <x:c r="I12" s="74"/>
    </x:row>
    <x:row r="13">
      <x:c r="A13" t="str">
        <x:v>Capital Expenditures</x:v>
      </x:c>
      <x:c r="B13" s="60" t="n">
        <x:f>-'CapEx &amp; D&amp;A'!B7</x:f>
        <x:v>-3500</x:v>
      </x:c>
      <x:c r="C13" s="60" t="n">
        <x:f>-'CapEx &amp; D&amp;A'!C7</x:f>
        <x:v>-3900</x:v>
      </x:c>
      <x:c r="D13" s="60" t="n">
        <x:f>-'CapEx &amp; D&amp;A'!D7</x:f>
        <x:v>-4200</x:v>
      </x:c>
      <x:c r="E13" s="66" t="n">
        <x:f>-'CapEx &amp; D&amp;A'!E7</x:f>
        <x:v>-3645</x:v>
      </x:c>
      <x:c r="F13" s="66" t="n">
        <x:f>-'CapEx &amp; D&amp;A'!F7</x:f>
        <x:v>-3831.2999999999997</x:v>
      </x:c>
      <x:c r="G13" s="66" t="n">
        <x:f>-'CapEx &amp; D&amp;A'!G7</x:f>
        <x:v>-4006.32075</x:v>
      </x:c>
      <x:c r="H13" s="66" t="n">
        <x:f>-'CapEx &amp; D&amp;A'!H7</x:f>
        <x:v>-4167.5052825</x:v>
      </x:c>
      <x:c r="I13" s="66" t="n">
        <x:f>-'CapEx &amp; D&amp;A'!I7</x:f>
        <x:v>-4207.195809</x:v>
      </x:c>
    </x:row>
    <x:row r="14">
      <x:c r="A14" t="str">
        <x:v>New Borrowing</x:v>
      </x:c>
      <x:c r="B14" s="60" t="n">
        <x:f>'Debt Schedule'!B7</x:f>
        <x:v>0</x:v>
      </x:c>
      <x:c r="C14" s="60" t="n">
        <x:f>'Debt Schedule'!C7</x:f>
        <x:v>0</x:v>
      </x:c>
      <x:c r="D14" s="60" t="n">
        <x:f>'Debt Schedule'!D7</x:f>
        <x:v>0</x:v>
      </x:c>
      <x:c r="E14" s="66" t="n">
        <x:f>'Debt Schedule'!E7</x:f>
        <x:v>0</x:v>
      </x:c>
      <x:c r="F14" s="66" t="n">
        <x:f>'Debt Schedule'!F7</x:f>
        <x:v>0</x:v>
      </x:c>
      <x:c r="G14" s="66" t="n">
        <x:f>'Debt Schedule'!G7</x:f>
        <x:v>0</x:v>
      </x:c>
      <x:c r="H14" s="66" t="n">
        <x:f>'Debt Schedule'!H7</x:f>
        <x:v>0</x:v>
      </x:c>
      <x:c r="I14" s="66" t="n">
        <x:f>'Debt Schedule'!I7</x:f>
        <x:v>0</x:v>
      </x:c>
    </x:row>
    <x:row r="15">
      <x:c r="A15" t="str">
        <x:v>Debt Repayment</x:v>
      </x:c>
      <x:c r="B15" s="60" t="n">
        <x:f>-'Debt Schedule'!B8</x:f>
        <x:v>-1000</x:v>
      </x:c>
      <x:c r="C15" s="60" t="n">
        <x:f>-'Debt Schedule'!C8</x:f>
        <x:v>-1000</x:v>
      </x:c>
      <x:c r="D15" s="60" t="n">
        <x:f>-'Debt Schedule'!D8</x:f>
        <x:v>-1000</x:v>
      </x:c>
      <x:c r="E15" s="66" t="n">
        <x:f>-'Debt Schedule'!E8</x:f>
        <x:v>-1500</x:v>
      </x:c>
      <x:c r="F15" s="66" t="n">
        <x:f>-'Debt Schedule'!F8</x:f>
        <x:v>-1500</x:v>
      </x:c>
      <x:c r="G15" s="66" t="n">
        <x:f>-'Debt Schedule'!G8</x:f>
        <x:v>-1500</x:v>
      </x:c>
      <x:c r="H15" s="66" t="n">
        <x:f>-'Debt Schedule'!H8</x:f>
        <x:v>-1500</x:v>
      </x:c>
      <x:c r="I15" s="66" t="n">
        <x:f>-'Debt Schedule'!I8</x:f>
        <x:v>-1500</x:v>
      </x:c>
    </x:row>
    <x:row r="16">
      <x:c r="A16" t="str">
        <x:v>Dividends</x:v>
      </x:c>
      <x:c r="B16" s="60" t="n">
        <x:v>0</x:v>
      </x:c>
      <x:c r="C16" s="60" t="n">
        <x:v>0</x:v>
      </x:c>
      <x:c r="D16" s="60" t="n">
        <x:v>0</x:v>
      </x:c>
      <x:c r="E16" s="66" t="n">
        <x:f>-'Income Statement'!E17*Assumptions!E24</x:f>
        <x:v>-969.4084821428571</x:v>
      </x:c>
      <x:c r="F16" s="66" t="n">
        <x:f>-'Income Statement'!F17*Assumptions!F24</x:f>
        <x:v>-1158.4608864795919</x:v>
      </x:c>
      <x:c r="G16" s="66" t="n">
        <x:f>-'Income Statement'!G17*Assumptions!G24</x:f>
        <x:v>-1359.8302337235784</x:v>
      </x:c>
      <x:c r="H16" s="66" t="n">
        <x:f>-'Income Statement'!H17*Assumptions!H24</x:f>
        <x:v>-1573.9482217809239</x:v>
      </x:c>
      <x:c r="I16" s="66" t="n">
        <x:f>-'Income Statement'!I17*Assumptions!I24</x:f>
        <x:v>-1801.0870211213726</x:v>
      </x:c>
    </x:row>
    <x:row r="17">
      <x:c r="A17" s="95" t="str">
        <x:v>Net Change in Cash</x:v>
      </x:c>
      <x:c r="B17" s="99" t="n">
        <x:f>B19-B18</x:f>
        <x:v>800</x:v>
      </x:c>
      <x:c r="C17" s="99" t="n">
        <x:f>C19-C18</x:f>
        <x:v>800</x:v>
      </x:c>
      <x:c r="D17" s="99" t="n">
        <x:f>D19-D18</x:f>
        <x:v>700</x:v>
      </x:c>
      <x:c r="E17" s="96" t="n">
        <x:f>SUM(E10,E13:E16)</x:f>
        <x:v>1790.5661998532305</x:v>
      </x:c>
      <x:c r="F17" s="96" t="n">
        <x:f>SUM(F10,F13:F16)</x:f>
        <x:v>3518.734670201986</x:v>
      </x:c>
      <x:c r="G17" s="96" t="n">
        <x:f>SUM(G10,G13:G16)</x:f>
        <x:v>4768.565213405146</x:v>
      </x:c>
      <x:c r="H17" s="96" t="n">
        <x:f>SUM(H10,H13:H16)</x:f>
        <x:v>6106.941035016793</x:v>
      </x:c>
      <x:c r="I17" s="96" t="n">
        <x:f>SUM(I10,I13:I16)</x:f>
        <x:v>7466.954238170929</x:v>
      </x:c>
    </x:row>
    <x:row r="18">
      <x:c r="A18" t="str">
        <x:v>Beginning Cash</x:v>
      </x:c>
      <x:c r="B18" s="60" t="n">
        <x:v>5200</x:v>
      </x:c>
      <x:c r="C18" s="60" t="n">
        <x:f>B19</x:f>
        <x:v>6000</x:v>
      </x:c>
      <x:c r="D18" s="60" t="n">
        <x:f>C19</x:f>
        <x:v>6800</x:v>
      </x:c>
      <x:c r="E18" s="66" t="n">
        <x:f>D19</x:f>
        <x:v>7500</x:v>
      </x:c>
      <x:c r="F18" s="66" t="n">
        <x:f>E19</x:f>
        <x:v>9290.56619985323</x:v>
      </x:c>
      <x:c r="G18" s="66" t="n">
        <x:f>F19</x:f>
        <x:v>12809.300870055216</x:v>
      </x:c>
      <x:c r="H18" s="66" t="n">
        <x:f>G19</x:f>
        <x:v>17577.86608346036</x:v>
      </x:c>
      <x:c r="I18" s="66" t="n">
        <x:f>H19</x:f>
        <x:v>23684.807118477154</x:v>
      </x:c>
    </x:row>
    <x:row r="19">
      <x:c r="A19" s="95" t="str">
        <x:v>Ending Cash</x:v>
      </x:c>
      <x:c r="B19" s="99" t="n">
        <x:f>'Balance Sheet'!B6</x:f>
        <x:v>6000</x:v>
      </x:c>
      <x:c r="C19" s="99" t="n">
        <x:f>'Balance Sheet'!C6</x:f>
        <x:v>6800</x:v>
      </x:c>
      <x:c r="D19" s="99" t="n">
        <x:f>'Balance Sheet'!D6</x:f>
        <x:v>7500</x:v>
      </x:c>
      <x:c r="E19" s="96" t="n">
        <x:f>E18+E17</x:f>
        <x:v>9290.56619985323</x:v>
      </x:c>
      <x:c r="F19" s="96" t="n">
        <x:f>F18+F17</x:f>
        <x:v>12809.300870055216</x:v>
      </x:c>
      <x:c r="G19" s="96" t="n">
        <x:f>G18+G17</x:f>
        <x:v>17577.86608346036</x:v>
      </x:c>
      <x:c r="H19" s="96" t="n">
        <x:f>H18+H17</x:f>
        <x:v>23684.807118477154</x:v>
      </x:c>
      <x:c r="I19" s="96" t="n">
        <x:f>I18+I17</x:f>
        <x:v>31151.761356648083</x:v>
      </x:c>
    </x:row>
  </x:sheetData>
  <x:mergeCells>
    <x:mergeCell ref="A1:I1"/>
    <x:mergeCell ref="A5:I5"/>
    <x:mergeCell ref="A12:I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8" customHeight="1">
      <x:c r="A1" s="30" t="str">
        <x:v>RATIOS &amp; MODEL CHECKS</x:v>
      </x:c>
      <x:c r="B1" s="30"/>
      <x:c r="C1" s="30"/>
      <x:c r="D1" s="30"/>
      <x:c r="E1" s="30"/>
      <x:c r="F1" s="30"/>
      <x:c r="G1" s="30"/>
      <x:c r="H1" s="30"/>
      <x:c r="I1" s="30"/>
    </x:row>
    <x:row r="3">
      <x:c r="B3" s="26" t="str">
        <x:v>2023A</x:v>
      </x:c>
      <x:c r="C3" s="26" t="str">
        <x:v>2024A</x:v>
      </x:c>
      <x:c r="D3" s="26" t="str">
        <x:v>2025A</x:v>
      </x:c>
      <x:c r="E3" s="26" t="str">
        <x:v>2026E</x:v>
      </x:c>
      <x:c r="F3" s="26" t="str">
        <x:v>2027E</x:v>
      </x:c>
      <x:c r="G3" s="26" t="str">
        <x:v>2028E</x:v>
      </x:c>
      <x:c r="H3" s="26" t="str">
        <x:v>2029E</x:v>
      </x:c>
      <x:c r="I3" s="26" t="str">
        <x:v>2030E</x:v>
      </x:c>
    </x:row>
    <x:row r="5">
      <x:c r="A5" s="37" t="str">
        <x:v>Key Financial Ratios</x:v>
      </x:c>
      <x:c r="B5" s="37"/>
      <x:c r="C5" s="37"/>
      <x:c r="D5" s="37"/>
      <x:c r="E5" s="37"/>
      <x:c r="F5" s="37"/>
      <x:c r="G5" s="37"/>
      <x:c r="H5" s="37"/>
      <x:c r="I5" s="37"/>
    </x:row>
    <x:row r="6">
      <x:c r="A6" t="str">
        <x:v>Revenue Growth</x:v>
      </x:c>
      <x:c r="B6" s="67"/>
      <x:c r="C6" s="67" t="n">
        <x:f>'Income Statement'!C6/'Income Statement'!B6-1</x:f>
        <x:v>0.10483870967741926</x:v>
      </x:c>
      <x:c r="D6" s="67" t="n">
        <x:f>'Income Statement'!D6/'Income Statement'!C6-1</x:f>
        <x:v>0.0948905109489051</x:v>
      </x:c>
      <x:c r="E6" s="67" t="n">
        <x:f>'Income Statement'!E6/'Income Statement'!D6-1</x:f>
        <x:v>0.08000000000000007</x:v>
      </x:c>
      <x:c r="F6" s="67" t="n">
        <x:f>'Income Statement'!F6/'Income Statement'!E6-1</x:f>
        <x:v>0.07499999999999996</x:v>
      </x:c>
      <x:c r="G6" s="67" t="n">
        <x:f>'Income Statement'!G6/'Income Statement'!F6-1</x:f>
        <x:v>0.07000000000000006</x:v>
      </x:c>
      <x:c r="H6" s="67" t="n">
        <x:f>'Income Statement'!H6/'Income Statement'!G6-1</x:f>
        <x:v>0.06499999999999995</x:v>
      </x:c>
      <x:c r="I6" s="67" t="n">
        <x:f>'Income Statement'!I6/'Income Statement'!H6-1</x:f>
        <x:v>0.06000000000000005</x:v>
      </x:c>
    </x:row>
    <x:row r="7">
      <x:c r="A7" t="str">
        <x:v>Gross Margin</x:v>
      </x:c>
      <x:c r="B7" s="67" t="n">
        <x:f>'Income Statement'!B8/'Income Statement'!B6</x:f>
        <x:v>0.3951612903225806</x:v>
      </x:c>
      <x:c r="C7" s="67" t="n">
        <x:f>'Income Statement'!C8/'Income Statement'!C6</x:f>
        <x:v>0.4043795620437956</x:v>
      </x:c>
      <x:c r="D7" s="67" t="n">
        <x:f>'Income Statement'!D8/'Income Statement'!D6</x:f>
        <x:v>0.408</x:v>
      </x:c>
      <x:c r="E7" s="67" t="n">
        <x:f>'Income Statement'!E8/'Income Statement'!E6</x:f>
        <x:v>0.405</x:v>
      </x:c>
      <x:c r="F7" s="67" t="n">
        <x:f>'Income Statement'!F8/'Income Statement'!F6</x:f>
        <x:v>0.41</x:v>
      </x:c>
      <x:c r="G7" s="67" t="n">
        <x:f>'Income Statement'!G8/'Income Statement'!G6</x:f>
        <x:v>0.415</x:v>
      </x:c>
      <x:c r="H7" s="67" t="n">
        <x:f>'Income Statement'!H8/'Income Statement'!H6</x:f>
        <x:v>0.42</x:v>
      </x:c>
      <x:c r="I7" s="67" t="n">
        <x:f>'Income Statement'!I8/'Income Statement'!I6</x:f>
        <x:v>0.425</x:v>
      </x:c>
    </x:row>
    <x:row r="8">
      <x:c r="A8" t="str">
        <x:v>EBITDA Margin</x:v>
      </x:c>
      <x:c r="B8" s="67" t="n">
        <x:f>'Income Statement'!B11/'Income Statement'!B6</x:f>
        <x:v>0.1403225806451613</x:v>
      </x:c>
      <x:c r="C8" s="67" t="n">
        <x:f>'Income Statement'!C11/'Income Statement'!C6</x:f>
        <x:v>0.15401459854014599</x:v>
      </x:c>
      <x:c r="D8" s="67" t="n">
        <x:f>'Income Statement'!D11/'Income Statement'!D6</x:f>
        <x:v>0.16133333333333333</x:v>
      </x:c>
      <x:c r="E8" s="67" t="n">
        <x:f>'Income Statement'!E11/'Income Statement'!E6</x:f>
        <x:v>0.145</x:v>
      </x:c>
      <x:c r="F8" s="67" t="n">
        <x:f>'Income Statement'!F11/'Income Statement'!F6</x:f>
        <x:v>0.155</x:v>
      </x:c>
      <x:c r="G8" s="67" t="n">
        <x:f>'Income Statement'!G11/'Income Statement'!G6</x:f>
        <x:v>0.16499999999999998</x:v>
      </x:c>
      <x:c r="H8" s="67" t="n">
        <x:f>'Income Statement'!H11/'Income Statement'!H6</x:f>
        <x:v>0.17499999999999996</x:v>
      </x:c>
      <x:c r="I8" s="67" t="n">
        <x:f>'Income Statement'!I11/'Income Statement'!I6</x:f>
        <x:v>0.18499999999999997</x:v>
      </x:c>
    </x:row>
    <x:row r="9">
      <x:c r="A9" t="str">
        <x:v>Net Margin</x:v>
      </x:c>
      <x:c r="B9" s="67" t="n">
        <x:f>'Income Statement'!B17/'Income Statement'!B6</x:f>
        <x:v>0.06532258064516129</x:v>
      </x:c>
      <x:c r="C9" s="67" t="n">
        <x:f>'Income Statement'!C17/'Income Statement'!C6</x:f>
        <x:v>0.075</x:v>
      </x:c>
      <x:c r="D9" s="67" t="n">
        <x:f>'Income Statement'!D17/'Income Statement'!D6</x:f>
        <x:v>0.083</x:v>
      </x:c>
      <x:c r="E9" s="67" t="n">
        <x:f>'Income Statement'!E17/'Income Statement'!E6</x:f>
        <x:v>0.07978670634920636</x:v>
      </x:c>
      <x:c r="F9" s="67" t="n">
        <x:f>'Income Statement'!F17/'Income Statement'!F6</x:f>
        <x:v>0.08869448838967112</x:v>
      </x:c>
      <x:c r="G9" s="67" t="n">
        <x:f>'Income Statement'!G17/'Income Statement'!G6</x:f>
        <x:v>0.09730074665991047</x:v>
      </x:c>
      <x:c r="H9" s="67" t="n">
        <x:f>'Income Statement'!H17/'Income Statement'!H6</x:f>
        <x:v>0.10574803682895122</x:v>
      </x:c>
      <x:c r="I9" s="67" t="n">
        <x:f>'Income Statement'!I17/'Income Statement'!I6</x:f>
        <x:v>0.11415914402453065</x:v>
      </x:c>
    </x:row>
    <x:row r="10">
      <x:c r="A10" t="str">
        <x:v>Current Ratio</x:v>
      </x:c>
      <x:c r="B10" s="78" t="n">
        <x:f>('Balance Sheet'!B6+'Balance Sheet'!B7+'Balance Sheet'!B8)/'Balance Sheet'!B13</x:f>
        <x:v>4.804878048780488</x:v>
      </x:c>
      <x:c r="C10" s="78" t="n">
        <x:f>('Balance Sheet'!C6+'Balance Sheet'!C7+'Balance Sheet'!C8)/'Balance Sheet'!C13</x:f>
        <x:v>4.835164835164835</x:v>
      </x:c>
      <x:c r="D10" s="78" t="n">
        <x:f>('Balance Sheet'!D6+'Balance Sheet'!D7+'Balance Sheet'!D8)/'Balance Sheet'!D13</x:f>
        <x:v>4.82</x:v>
      </x:c>
      <x:c r="E10" s="78" t="n">
        <x:f>('Balance Sheet'!E6+'Balance Sheet'!E7+'Balance Sheet'!E8)/'Balance Sheet'!E13</x:f>
        <x:v>5.340773864370309</x:v>
      </x:c>
      <x:c r="F10" s="78" t="n">
        <x:f>('Balance Sheet'!F6+'Balance Sheet'!F7+'Balance Sheet'!F8)/'Balance Sheet'!F13</x:f>
        <x:v>5.653797587447544</x:v>
      </x:c>
      <x:c r="G10" s="78" t="n">
        <x:f>('Balance Sheet'!G6+'Balance Sheet'!G7+'Balance Sheet'!G8)/'Balance Sheet'!G13</x:f>
        <x:v>6.1022366086066695</x:v>
      </x:c>
      <x:c r="H10" s="78" t="n">
        <x:f>('Balance Sheet'!H6+'Balance Sheet'!H7+'Balance Sheet'!H8)/'Balance Sheet'!H13</x:f>
        <x:v>6.669621832361534</x:v>
      </x:c>
      <x:c r="I10" s="78" t="n">
        <x:f>('Balance Sheet'!I6+'Balance Sheet'!I7+'Balance Sheet'!I8)/'Balance Sheet'!I13</x:f>
        <x:v>7.359388921682342</x:v>
      </x:c>
    </x:row>
    <x:row r="11">
      <x:c r="A11" t="str">
        <x:v>Debt / EBITDA</x:v>
      </x:c>
      <x:c r="B11" s="78" t="n">
        <x:f>'Balance Sheet'!B14/'Income Statement'!B11</x:f>
        <x:v>1.7241379310344827</x:v>
      </x:c>
      <x:c r="C11" s="78" t="n">
        <x:f>'Balance Sheet'!C14/'Income Statement'!C11</x:f>
        <x:v>1.3270142180094786</x:v>
      </x:c>
      <x:c r="D11" s="78" t="n">
        <x:f>'Balance Sheet'!D14/'Income Statement'!D11</x:f>
        <x:v>1.0743801652892562</x:v>
      </x:c>
      <x:c r="E11" s="78" t="n">
        <x:f>'Balance Sheet'!E14/'Income Statement'!E11</x:f>
        <x:v>0.9791400595998297</x:v>
      </x:c>
      <x:c r="F11" s="78" t="n">
        <x:f>'Balance Sheet'!F14/'Income Statement'!F11</x:f>
        <x:v>0.7409259722337992</x:v>
      </x:c>
      <x:c r="G11" s="78" t="n">
        <x:f>'Balance Sheet'!G14/'Income Statement'!G11</x:f>
        <x:v>0.5529141707267237</x:v>
      </x:c>
      <x:c r="H11" s="78" t="n">
        <x:f>'Balance Sheet'!H14/'Income Statement'!H11</x:f>
        <x:v>0.4031188651528723</x:v>
      </x:c>
      <x:c r="I11" s="78" t="n">
        <x:f>'Balance Sheet'!I14/'Income Statement'!I11</x:f>
        <x:v>0.28265601202712864</x:v>
      </x:c>
    </x:row>
    <x:row r="12">
      <x:c r="A12" t="str">
        <x:v>Interest Coverage</x:v>
      </x:c>
      <x:c r="B12" s="78" t="n">
        <x:f>'Income Statement'!B13/'Income Statement'!B14</x:f>
        <x:v>5.909090909090909</x:v>
      </x:c>
      <x:c r="C12" s="78" t="n">
        <x:f>'Income Statement'!C13/'Income Statement'!C14</x:f>
        <x:v>7.85</x:v>
      </x:c>
      <x:c r="D12" s="78" t="n">
        <x:f>'Income Statement'!D13/'Income Statement'!D14</x:f>
        <x:v>10.222222222222221</x:v>
      </x:c>
      <x:c r="E12" s="78" t="n">
        <x:f>'Income Statement'!E13/'Income Statement'!E14</x:f>
        <x:v>11.821933168871945</x:v>
      </x:c>
      <x:c r="F12" s="78" t="n">
        <x:f>'Income Statement'!F13/'Income Statement'!F14</x:f>
        <x:v>16.450007654974968</x:v>
      </x:c>
      <x:c r="G12" s="78" t="n">
        <x:f>'Income Statement'!G13/'Income Statement'!G14</x:f>
        <x:v>22.779062802379634</x:v>
      </x:c>
      <x:c r="H12" s="78" t="n">
        <x:f>'Income Statement'!H13/'Income Statement'!H14</x:f>
        <x:v>32.124918487819535</x:v>
      </x:c>
      <x:c r="I12" s="78" t="n">
        <x:f>'Income Statement'!I13/'Income Statement'!I14</x:f>
        <x:v>47.57356337445166</x:v>
      </x:c>
    </x:row>
    <x:row r="13">
      <x:c r="A13" t="str">
        <x:v>ROA</x:v>
      </x:c>
      <x:c r="B13" s="67" t="n">
        <x:f>'Income Statement'!B17/'Balance Sheet'!B10</x:f>
        <x:v>0.1277602523659306</x:v>
      </x:c>
      <x:c r="C13" s="67" t="n">
        <x:f>'Income Statement'!C17/'Balance Sheet'!C10</x:f>
        <x:v>0.14595170454545456</x:v>
      </x:c>
      <x:c r="D13" s="67" t="n">
        <x:f>'Income Statement'!D17/'Balance Sheet'!D10</x:f>
        <x:v>0.16126943005181346</x:v>
      </x:c>
      <x:c r="E13" s="67" t="n">
        <x:f>'Income Statement'!E17/'Balance Sheet'!E10</x:f>
        <x:v>0.15166839464322823</x:v>
      </x:c>
      <x:c r="F13" s="67" t="n">
        <x:f>'Income Statement'!F17/'Balance Sheet'!F10</x:f>
        <x:v>0.1604053359060628</x:v>
      </x:c>
      <x:c r="G13" s="67" t="n">
        <x:f>'Income Statement'!G17/'Balance Sheet'!G10</x:f>
        <x:v>0.16531864041806615</x:v>
      </x:c>
      <x:c r="H13" s="67" t="n">
        <x:f>'Income Statement'!H17/'Balance Sheet'!H10</x:f>
        <x:v>0.16722604077147163</x:v>
      </x:c>
      <x:c r="I13" s="67" t="n">
        <x:f>'Income Statement'!I17/'Balance Sheet'!I10</x:f>
        <x:v>0.16688786144810167</x:v>
      </x:c>
    </x:row>
    <x:row r="14">
      <x:c r="B14" s="79"/>
      <x:c r="C14" s="79"/>
      <x:c r="D14" s="79"/>
      <x:c r="E14" s="79"/>
      <x:c r="F14" s="79"/>
      <x:c r="G14" s="79"/>
      <x:c r="H14" s="79"/>
      <x:c r="I14" s="79"/>
    </x:row>
    <x:row r="15">
      <x:c r="A15" s="37" t="str">
        <x:v>Model Integrity Checks</x:v>
      </x:c>
      <x:c r="B15" s="80"/>
      <x:c r="C15" s="80"/>
      <x:c r="D15" s="80"/>
      <x:c r="E15" s="80"/>
      <x:c r="F15" s="80"/>
      <x:c r="G15" s="80"/>
      <x:c r="H15" s="80"/>
      <x:c r="I15" s="80"/>
    </x:row>
    <x:row r="16">
      <x:c r="A16" t="str">
        <x:v>Balance Sheet Check</x:v>
      </x:c>
      <x:c r="B16" s="66" t="n">
        <x:f>'Balance Sheet'!B10-'Balance Sheet'!B18</x:f>
        <x:v>0</x:v>
      </x:c>
      <x:c r="C16" s="66" t="n">
        <x:f>'Balance Sheet'!C10-'Balance Sheet'!C18</x:f>
        <x:v>0</x:v>
      </x:c>
      <x:c r="D16" s="66" t="n">
        <x:f>'Balance Sheet'!D10-'Balance Sheet'!D18</x:f>
        <x:v>0</x:v>
      </x:c>
      <x:c r="E16" s="66" t="n">
        <x:f>'Balance Sheet'!E10-'Balance Sheet'!E18</x:f>
        <x:v>7.275957614183426e-12</x:v>
      </x:c>
      <x:c r="F16" s="66" t="n">
        <x:f>'Balance Sheet'!F10-'Balance Sheet'!F18</x:f>
        <x:v>7.275957614183426e-12</x:v>
      </x:c>
      <x:c r="G16" s="66" t="n">
        <x:f>'Balance Sheet'!G10-'Balance Sheet'!G18</x:f>
        <x:v>0</x:v>
      </x:c>
      <x:c r="H16" s="66" t="n">
        <x:f>'Balance Sheet'!H10-'Balance Sheet'!H18</x:f>
        <x:v>7.275957614183426e-12</x:v>
      </x:c>
      <x:c r="I16" s="66" t="n">
        <x:f>'Balance Sheet'!I10-'Balance Sheet'!I18</x:f>
        <x:v>0</x:v>
      </x:c>
    </x:row>
    <x:row r="17">
      <x:c r="A17" t="str">
        <x:v>Cash Link Check</x:v>
      </x:c>
      <x:c r="B17" s="66" t="n">
        <x:f>'Balance Sheet'!B6-'Cash Flow'!B19</x:f>
        <x:v>0</x:v>
      </x:c>
      <x:c r="C17" s="66" t="n">
        <x:f>'Balance Sheet'!C6-'Cash Flow'!C19</x:f>
        <x:v>0</x:v>
      </x:c>
      <x:c r="D17" s="66" t="n">
        <x:f>'Balance Sheet'!D6-'Cash Flow'!D19</x:f>
        <x:v>0</x:v>
      </x:c>
      <x:c r="E17" s="66" t="n">
        <x:f>'Balance Sheet'!E6-'Cash Flow'!E19</x:f>
        <x:v>0</x:v>
      </x:c>
      <x:c r="F17" s="66" t="n">
        <x:f>'Balance Sheet'!F6-'Cash Flow'!F19</x:f>
        <x:v>0</x:v>
      </x:c>
      <x:c r="G17" s="66" t="n">
        <x:f>'Balance Sheet'!G6-'Cash Flow'!G19</x:f>
        <x:v>0</x:v>
      </x:c>
      <x:c r="H17" s="66" t="n">
        <x:f>'Balance Sheet'!H6-'Cash Flow'!H19</x:f>
        <x:v>0</x:v>
      </x:c>
      <x:c r="I17" s="66" t="n">
        <x:f>'Balance Sheet'!I6-'Cash Flow'!I19</x:f>
        <x:v>0</x:v>
      </x:c>
    </x:row>
    <x:row r="18">
      <x:c r="A18" t="str">
        <x:v>GL / Model Status</x:v>
      </x:c>
      <x:c r="B18" s="79" t="str">
        <x:f>IF(AND(ABS(B16)&lt;1,ABS(B17)&lt;1),"OK","CHECK")</x:f>
        <x:v>OK</x:v>
      </x:c>
      <x:c r="C18" s="79" t="str">
        <x:f>IF(AND(ABS(C16)&lt;1,ABS(C17)&lt;1),"OK","CHECK")</x:f>
        <x:v>OK</x:v>
      </x:c>
      <x:c r="D18" s="79" t="str">
        <x:f>IF(AND(ABS(D16)&lt;1,ABS(D17)&lt;1),"OK","CHECK")</x:f>
        <x:v>OK</x:v>
      </x:c>
      <x:c r="E18" s="79" t="str">
        <x:f>IF(AND(ABS(E16)&lt;1,ABS(E17)&lt;1),"OK","CHECK")</x:f>
        <x:v>OK</x:v>
      </x:c>
      <x:c r="F18" s="79" t="str">
        <x:f>IF(AND(ABS(F16)&lt;1,ABS(F17)&lt;1),"OK","CHECK")</x:f>
        <x:v>OK</x:v>
      </x:c>
      <x:c r="G18" s="79" t="str">
        <x:f>IF(AND(ABS(G16)&lt;1,ABS(G17)&lt;1),"OK","CHECK")</x:f>
        <x:v>OK</x:v>
      </x:c>
      <x:c r="H18" s="79" t="str">
        <x:f>IF(AND(ABS(H16)&lt;1,ABS(H17)&lt;1),"OK","CHECK")</x:f>
        <x:v>OK</x:v>
      </x:c>
      <x:c r="I18" s="79" t="str">
        <x:f>IF(AND(ABS(I16)&lt;1,ABS(I17)&lt;1),"OK","CHECK")</x:f>
        <x:v>OK</x:v>
      </x:c>
    </x:row>
  </x:sheetData>
  <x:mergeCells>
    <x:mergeCell ref="A1:I1"/>
    <x:mergeCell ref="A5:I5"/>
    <x:mergeCell ref="A15:I15"/>
  </x:mergeCells>
  <x:conditionalFormatting sqref="B18:I18">
    <x:cfRule type="expression" dxfId="0" priority="1">
      <x:formula>B18="CHECK"</x:formula>
    </x:cfRule>
    <x:cfRule type="expression" dxfId="1" priority="2">
      <x:formula>B18="OK"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30" t="str">
        <x:v>EXECUTIVE DASHBOARD — THREE-STATEMENT MODEL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3">
      <x:c r="A3" s="84" t="str">
        <x:v>2026E</x:v>
      </x:c>
      <x:c r="B3" s="84" t="str"/>
      <x:c r="C3" s="84" t="str">
        <x:v>2027E</x:v>
      </x:c>
      <x:c r="D3" s="84" t="str"/>
      <x:c r="E3" s="84" t="str">
        <x:v>2028E</x:v>
      </x:c>
      <x:c r="F3" s="84" t="str"/>
      <x:c r="G3" s="84" t="str">
        <x:v>2029E</x:v>
      </x:c>
      <x:c r="H3" s="84" t="str"/>
      <x:c r="I3" s="84" t="str">
        <x:v>2030E</x:v>
      </x:c>
      <x:c r="J3" s="84" t="str"/>
      <x:c r="K3" s="84" t="str"/>
      <x:c r="L3" s="84" t="str"/>
    </x:row>
    <x:row r="5">
      <x:c r="A5" s="88" t="str">
        <x:v>Revenue</x:v>
      </x:c>
      <x:c r="B5" s="86"/>
      <x:c r="D5" s="88" t="str">
        <x:v>EBITDA</x:v>
      </x:c>
      <x:c r="E5" s="86"/>
      <x:c r="G5" s="88" t="str">
        <x:v>Net Income</x:v>
      </x:c>
      <x:c r="H5" s="86"/>
      <x:c r="J5" s="88" t="str">
        <x:v>Ending Cash</x:v>
      </x:c>
      <x:c r="K5" s="86"/>
    </x:row>
    <x:row r="6">
      <x:c r="A6" s="92" t="n">
        <x:f>'Income Statement'!E6</x:f>
        <x:v>81000</x:v>
      </x:c>
      <x:c r="B6" s="86"/>
      <x:c r="D6" s="92" t="n">
        <x:f>'Income Statement'!E11</x:f>
        <x:v>11745</x:v>
      </x:c>
      <x:c r="E6" s="86"/>
      <x:c r="G6" s="92" t="n">
        <x:f>'Income Statement'!E17</x:f>
        <x:v>6462.723214285715</x:v>
      </x:c>
      <x:c r="H6" s="86"/>
      <x:c r="J6" s="92" t="n">
        <x:f>'Cash Flow'!E19</x:f>
        <x:v>9290.56619985323</x:v>
      </x:c>
      <x:c r="K6" s="86"/>
    </x:row>
    <x:row r="7">
      <x:c r="A7" s="86"/>
      <x:c r="B7" s="86"/>
      <x:c r="D7" s="86"/>
      <x:c r="E7" s="86"/>
      <x:c r="G7" s="86"/>
      <x:c r="H7" s="86"/>
      <x:c r="J7" s="86"/>
      <x:c r="K7" s="86"/>
    </x:row>
    <x:row r="9">
      <x:c r="A9" s="37" t="str">
        <x:v>Forecast Summary</x:v>
      </x:c>
      <x:c r="B9" s="37" t="str">
        <x:v>2026E</x:v>
      </x:c>
      <x:c r="C9" s="37" t="str">
        <x:v>2027E</x:v>
      </x:c>
      <x:c r="D9" s="37" t="str">
        <x:v>2028E</x:v>
      </x:c>
      <x:c r="E9" s="37" t="str">
        <x:v>2029E</x:v>
      </x:c>
      <x:c r="F9" s="37" t="str">
        <x:v>2030E</x:v>
      </x:c>
      <x:c r="G9" s="37"/>
      <x:c r="H9" s="37"/>
      <x:c r="I9" s="37"/>
      <x:c r="J9" s="37"/>
      <x:c r="K9" s="37"/>
      <x:c r="L9" s="37"/>
    </x:row>
    <x:row r="10">
      <x:c r="A10" t="str">
        <x:v>Revenue</x:v>
      </x:c>
      <x:c r="B10" s="60" t="n">
        <x:f>'Income Statement'!E6</x:f>
        <x:v>81000</x:v>
      </x:c>
      <x:c r="C10" s="60" t="n">
        <x:f>'Income Statement'!F6</x:f>
        <x:v>87075</x:v>
      </x:c>
      <x:c r="D10" s="60" t="n">
        <x:f>'Income Statement'!G6</x:f>
        <x:v>93170.25</x:v>
      </x:c>
      <x:c r="E10" s="60" t="n">
        <x:f>'Income Statement'!H6</x:f>
        <x:v>99226.31624999999</x:v>
      </x:c>
      <x:c r="F10" s="60" t="n">
        <x:f>'Income Statement'!I6</x:f>
        <x:v>105179.895225</x:v>
      </x:c>
    </x:row>
    <x:row r="11">
      <x:c r="A11" t="str">
        <x:v>EBITDA</x:v>
      </x:c>
      <x:c r="B11" s="60" t="n">
        <x:f>'Income Statement'!E11</x:f>
        <x:v>11745</x:v>
      </x:c>
      <x:c r="C11" s="60" t="n">
        <x:f>'Income Statement'!F11</x:f>
        <x:v>13496.625</x:v>
      </x:c>
      <x:c r="D11" s="60" t="n">
        <x:f>'Income Statement'!G11</x:f>
        <x:v>15373.091249999998</x:v>
      </x:c>
      <x:c r="E11" s="60" t="n">
        <x:f>'Income Statement'!H11</x:f>
        <x:v>17364.605343749994</x:v>
      </x:c>
      <x:c r="F11" s="60" t="n">
        <x:f>'Income Statement'!I11</x:f>
        <x:v>19458.280616624997</x:v>
      </x:c>
    </x:row>
    <x:row r="12">
      <x:c r="A12" t="str">
        <x:v>Net Income</x:v>
      </x:c>
      <x:c r="B12" s="60" t="n">
        <x:f>'Income Statement'!E17</x:f>
        <x:v>6462.723214285715</x:v>
      </x:c>
      <x:c r="C12" s="60" t="n">
        <x:f>'Income Statement'!F17</x:f>
        <x:v>7723.072576530612</x:v>
      </x:c>
      <x:c r="D12" s="60" t="n">
        <x:f>'Income Statement'!G17</x:f>
        <x:v>9065.534891490523</x:v>
      </x:c>
      <x:c r="E12" s="60" t="n">
        <x:f>'Income Statement'!H17</x:f>
        <x:v>10492.98814520616</x:v>
      </x:c>
      <x:c r="F12" s="60" t="n">
        <x:f>'Income Statement'!I17</x:f>
        <x:v>12007.246807475818</x:v>
      </x:c>
    </x:row>
    <x:row r="13">
      <x:c r="A13" t="str">
        <x:v>Operating Cash Flow</x:v>
      </x:c>
      <x:c r="B13" s="60" t="n">
        <x:f>'Cash Flow'!E10</x:f>
        <x:v>7904.974681996087</x:v>
      </x:c>
      <x:c r="C13" s="60" t="n">
        <x:f>'Cash Flow'!F10</x:f>
        <x:v>10008.495556681577</x:v>
      </x:c>
      <x:c r="D13" s="60" t="n">
        <x:f>'Cash Flow'!G10</x:f>
        <x:v>11634.716197128724</x:v>
      </x:c>
      <x:c r="E13" s="60" t="n">
        <x:f>'Cash Flow'!H10</x:f>
        <x:v>13348.394539297717</x:v>
      </x:c>
      <x:c r="F13" s="60" t="n">
        <x:f>'Cash Flow'!I10</x:f>
        <x:v>14975.237068292301</x:v>
      </x:c>
    </x:row>
    <x:row r="14">
      <x:c r="A14" t="str">
        <x:v>Ending Cash</x:v>
      </x:c>
      <x:c r="B14" s="60" t="n">
        <x:f>'Cash Flow'!E19</x:f>
        <x:v>9290.56619985323</x:v>
      </x:c>
      <x:c r="C14" s="60" t="n">
        <x:f>'Cash Flow'!F19</x:f>
        <x:v>12809.300870055216</x:v>
      </x:c>
      <x:c r="D14" s="60" t="n">
        <x:f>'Cash Flow'!G19</x:f>
        <x:v>17577.86608346036</x:v>
      </x:c>
      <x:c r="E14" s="60" t="n">
        <x:f>'Cash Flow'!H19</x:f>
        <x:v>23684.807118477154</x:v>
      </x:c>
      <x:c r="F14" s="60" t="n">
        <x:f>'Cash Flow'!I19</x:f>
        <x:v>31151.761356648083</x:v>
      </x:c>
    </x:row>
    <x:row r="15">
      <x:c r="A15" t="str">
        <x:v>Debt</x:v>
      </x:c>
      <x:c r="B15" s="60" t="n">
        <x:f>'Debt Schedule'!E9</x:f>
        <x:v>11500</x:v>
      </x:c>
      <x:c r="C15" s="60" t="n">
        <x:f>'Debt Schedule'!F9</x:f>
        <x:v>10000</x:v>
      </x:c>
      <x:c r="D15" s="60" t="n">
        <x:f>'Debt Schedule'!G9</x:f>
        <x:v>8500</x:v>
      </x:c>
      <x:c r="E15" s="60" t="n">
        <x:f>'Debt Schedule'!H9</x:f>
        <x:v>7000</x:v>
      </x:c>
      <x:c r="F15" s="60" t="n">
        <x:f>'Debt Schedule'!I9</x:f>
        <x:v>5500</x:v>
      </x:c>
    </x:row>
    <x:row r="18">
      <x:c r="A18" s="37" t="str">
        <x:v>Management KPIs</x:v>
      </x:c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  <x:c r="L18" s="37"/>
    </x:row>
    <x:row r="19">
      <x:c r="A19" t="str">
        <x:v>Revenue CAGR (2025A–2030E)</x:v>
      </x:c>
      <x:c r="B19" s="62" t="n">
        <x:f>('Income Statement'!I6/'Income Statement'!D6)^(1/5)-1</x:f>
        <x:v>0.06997663490176409</x:v>
      </x:c>
    </x:row>
    <x:row r="20">
      <x:c r="A20" t="str">
        <x:v>2030E EBITDA Margin</x:v>
      </x:c>
      <x:c r="B20" s="62" t="n">
        <x:f>'Income Statement'!I11/'Income Statement'!I6</x:f>
        <x:v>0.18499999999999997</x:v>
      </x:c>
    </x:row>
    <x:row r="21">
      <x:c r="A21" t="str">
        <x:v>2030E Net Margin</x:v>
      </x:c>
      <x:c r="B21" s="62" t="n">
        <x:f>'Income Statement'!I17/'Income Statement'!I6</x:f>
        <x:v>0.11415914402453065</x:v>
      </x:c>
    </x:row>
    <x:row r="22">
      <x:c r="A22" t="str">
        <x:v>2030E Debt / EBITDA</x:v>
      </x:c>
      <x:c r="B22" s="76" t="n">
        <x:f>'Debt Schedule'!I9/'Income Statement'!I11</x:f>
        <x:v>0.28265601202712864</x:v>
      </x:c>
    </x:row>
    <x:row r="23">
      <x:c r="A23" t="str">
        <x:v>2030E DSO</x:v>
      </x:c>
      <x:c r="B23" s="64" t="n">
        <x:f>'Working Capital'!I9</x:f>
        <x:v>38</x:v>
      </x:c>
    </x:row>
    <x:row r="24">
      <x:c r="A24" t="str">
        <x:v>2030E Balance Check</x:v>
      </x:c>
      <x:c r="B24" s="60" t="n">
        <x:f>'Ratios &amp; Checks'!I16</x:f>
        <x:v>0</x:v>
      </x:c>
    </x:row>
  </x:sheetData>
  <x:mergeCells>
    <x:mergeCell ref="A1:L1"/>
    <x:mergeCell ref="A9:L9"/>
    <x:mergeCell ref="A18:L18"/>
  </x:mergeCells>
  <x:pageMargins left="0.7" right="0.7" top="0.75" bottom="0.75" header="0.3" footer="0.3"/>
  <x:drawing xmlns:r="http://schemas.openxmlformats.org/officeDocument/2006/relationships" r:id="Rde3b1f42409c4c30"/>
</x:worksheet>
</file>